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评估表" sheetId="1" r:id="rId3"/>
    <sheet name="2-数据量级评估" sheetId="2" r:id="rId4"/>
    <sheet name="工作表1" sheetId="3" r:id="rId5"/>
    <sheet name="工作表2" sheetId="4" r:id="rId6"/>
  </sheets>
  <calcPr fullCalcOnLoad="0"/>
</workbook>
</file>

<file path=xl/sharedStrings.xml><?xml version="1.0" encoding="utf-8"?>
<sst xmlns="http://schemas.openxmlformats.org/spreadsheetml/2006/main" count="315" uniqueCount="315">
  <si>
    <t/>
  </si>
  <si>
    <t>序号</t>
  </si>
  <si>
    <t>模块/子模块</t>
  </si>
  <si>
    <t>功能描述</t>
  </si>
  <si>
    <t>备注/实现要点</t>
  </si>
  <si>
    <t>状态（可做✅ / 可扩展🔄 / 不可做❌）</t>
  </si>
  <si>
    <t>工时</t>
  </si>
  <si>
    <t>产品报价</t>
  </si>
  <si>
    <t>平台架构</t>
  </si>
  <si>
    <t>多层级多模块架构，保障系统高效运行</t>
  </si>
  <si>
    <t>包含数据集、数据治理、湖管理、湖计算、湖存储</t>
  </si>
  <si>
    <t>数据集</t>
  </si>
  <si>
    <t>面向AI场景的数据集管理（查询、编辑、版本管理），内置分布式缓存加速访问</t>
  </si>
  <si>
    <t>✅</t>
  </si>
  <si>
    <t>数据治理</t>
  </si>
  <si>
    <t>可视化AI工作流编排，内置多模态算子，支持自定义算子，提供算法库</t>
  </si>
  <si>
    <t>🔄</t>
  </si>
  <si>
    <t>湖管理</t>
  </si>
  <si>
    <t>数据湖构建、在线服务、资源管理；元数据和权限管理、服务部署与监控、资源队列管理</t>
  </si>
  <si>
    <t>元数据/权限部分具备；缺统一湖管理层</t>
  </si>
  <si>
    <t>❌</t>
  </si>
  <si>
    <t>湖计算</t>
  </si>
  <si>
    <t>集成Spark、Ray、OpenSearch并增强，支持异构调度，多条件检索分析</t>
  </si>
  <si>
    <t>已有Ray；Spark/OpenSearch未集成</t>
  </si>
  <si>
    <t>湖存储</t>
  </si>
  <si>
    <t>存储加速引擎，支持读写缓存，POSIX协议，对接对象存储</t>
  </si>
  <si>
    <t>MinIO已具备基础存储；缺加速引擎与POSIX支持</t>
  </si>
  <si>
    <t>系统功能</t>
  </si>
  <si>
    <t>大数据研发平台</t>
  </si>
  <si>
    <t>兼容Hadoop生态，多计算引擎，全链路一站式</t>
  </si>
  <si>
    <t>无完整平台</t>
  </si>
  <si>
    <t>数据资产管理平台</t>
  </si>
  <si>
    <t>图形化工具，元数据血缘展示，检索、目录、血缘、采集、管理</t>
  </si>
  <si>
    <t>已有数据资产平台</t>
  </si>
  <si>
    <t>多模态AI数据湖</t>
  </si>
  <si>
    <t>多模态数据处理、管理、计算、存储，支持预处理和清洗</t>
  </si>
  <si>
    <t>已有多模态处理链路</t>
  </si>
  <si>
    <t>多模态检索</t>
  </si>
  <si>
    <t>向量检索</t>
  </si>
  <si>
    <t>存储与检索非结构化数据向量特征，可与大模型结合</t>
  </si>
  <si>
    <t>已有Milvus多模态检索</t>
  </si>
  <si>
    <t>全文检索</t>
  </si>
  <si>
    <t>对非结构化数据分词构建倒排索引，高效全文检索，支持混合检索</t>
  </si>
  <si>
    <t>✅（ES）/ 🔄（Lance）</t>
  </si>
  <si>
    <t>数据资源流通归集</t>
  </si>
  <si>
    <t>分布式对象存储</t>
  </si>
  <si>
    <t>云底座高性能存储系统，支持大容量非结构化数据</t>
  </si>
  <si>
    <t>MinIO已实现</t>
  </si>
  <si>
    <t>数据集成工具</t>
  </si>
  <si>
    <t>整合不同数据源，二维表同步（离线+流式）</t>
  </si>
  <si>
    <t>未实现</t>
  </si>
  <si>
    <t>公共数据归集</t>
  </si>
  <si>
    <t>汇聚公共数据资源</t>
  </si>
  <si>
    <t>未实现（离线SFTP采集/本地文件上传）</t>
  </si>
  <si>
    <t>行业数据归集</t>
  </si>
  <si>
    <t>整合行业数据集</t>
  </si>
  <si>
    <t>多模态数据资源</t>
  </si>
  <si>
    <t>归集公共、行业、其他数据，为模型训练提供要素</t>
  </si>
  <si>
    <t>内部数据具备，外部缺</t>
  </si>
  <si>
    <t>湖管理功能</t>
  </si>
  <si>
    <t>概览</t>
  </si>
  <si>
    <t>系统运行与资源使用信息可视化</t>
  </si>
  <si>
    <t>Ray Dashboard部分具备</t>
  </si>
  <si>
    <t>统一数据目录</t>
  </si>
  <si>
    <t>Catalog管理数据资源，权限隔离</t>
  </si>
  <si>
    <t>数据集管理</t>
  </si>
  <si>
    <t>列表、筛选、创建、血缘、预览</t>
  </si>
  <si>
    <t>已有</t>
  </si>
  <si>
    <t>多模态混合检索</t>
  </si>
  <si>
    <t>向量+全文融合</t>
  </si>
  <si>
    <t>向量已具备，全文检索可用 ES/Lance 实现</t>
  </si>
  <si>
    <t>权限管理</t>
  </si>
  <si>
    <t>对数据资源项进行权限控制</t>
  </si>
  <si>
    <t>部分具备（配额管理）</t>
  </si>
  <si>
    <t>智能存储</t>
  </si>
  <si>
    <t>存储分析、冷热分层、TTL</t>
  </si>
  <si>
    <t>数据处理</t>
  </si>
  <si>
    <t>创建任务与可视化workflow</t>
  </si>
  <si>
    <t>已有处理链路，在线可视化算子编排</t>
  </si>
  <si>
    <t>算子管理</t>
  </si>
  <si>
    <t>注册与使用自定义算子，100+内置算子</t>
  </si>
  <si>
    <t>部分具备</t>
  </si>
  <si>
    <t>模型部署</t>
  </si>
  <si>
    <t>镜像部署、模型文件+Processor部署</t>
  </si>
  <si>
    <t>湖计算功能</t>
  </si>
  <si>
    <t>计算引擎</t>
  </si>
  <si>
    <t>多模态高性能引擎，支持调用豆包大模型</t>
  </si>
  <si>
    <t>Ray已具备多模态处理；豆包调用未实现</t>
  </si>
  <si>
    <t>计算加速引擎</t>
  </si>
  <si>
    <t>向量化执行引擎提升性能</t>
  </si>
  <si>
    <t>Milvus引擎、Es检索等</t>
  </si>
  <si>
    <t>湖存储功能</t>
  </si>
  <si>
    <t>高效存储</t>
  </si>
  <si>
    <t>缓存加速、POSIX、分层存储</t>
  </si>
  <si>
    <t>MinIO基础存储，按照采集、处理、结果三级存储分层，缺乏POSIX</t>
  </si>
  <si>
    <t>存储加速引擎</t>
  </si>
  <si>
    <t>对象存储缓存加速</t>
  </si>
  <si>
    <t>高效运维</t>
  </si>
  <si>
    <t>集群监控、告警、日志、作业监控</t>
  </si>
  <si>
    <t>Ray作业监控部分具备</t>
  </si>
  <si>
    <t>总计：</t>
  </si>
  <si>
    <t>数据规模与目标</t>
  </si>
  <si>
    <t>模态</t>
  </si>
  <si>
    <t>原始规模</t>
  </si>
  <si>
    <t>清洗后规模</t>
  </si>
  <si>
    <t>其他要求</t>
  </si>
  <si>
    <t>文本</t>
  </si>
  <si>
    <t>≥ 21 TB</t>
  </si>
  <si>
    <t>≥ 2.5 TB</t>
  </si>
  <si>
    <t>重复率 ≤ 5%</t>
  </si>
  <si>
    <t>图像</t>
  </si>
  <si>
    <t>≥ 25 TB / ≥ 500万张</t>
  </si>
  <si>
    <t>≥ 5 TB</t>
  </si>
  <si>
    <t>分辨率 ≥ 768×1024；5万张有文本描述（≥ 1 TB）</t>
  </si>
  <si>
    <t>音频</t>
  </si>
  <si>
    <t>≥ 20万小时</t>
  </si>
  <si>
    <t>≥ 10万小时</t>
  </si>
  <si>
    <t>-</t>
  </si>
  <si>
    <t>视频</t>
  </si>
  <si>
    <t>≥ 1000 TB / ≥ 4万小时</t>
  </si>
  <si>
    <t>≥ 500 TB / ≥ 2万小时</t>
  </si>
  <si>
    <t>分辨率 ≥ 720P；5000小时有文本描述（≥ 100 TB）；重复率 ≤ 5%</t>
  </si>
  <si>
    <t>标注</t>
  </si>
  <si>
    <t>指令微调 ≥ 45万条；测试集 ≥ 10万条（覆盖民航场景）</t>
  </si>
  <si>
    <t>工序</t>
  </si>
  <si>
    <t>质量要求</t>
  </si>
  <si>
    <t>对应 AI 数据湖模块</t>
  </si>
  <si>
    <t>实现要点 / 技术建议</t>
  </si>
  <si>
    <t>智能去重</t>
  </si>
  <si>
    <t>≥95%</t>
  </si>
  <si>
    <t>数据治理（1.2）、算子管理（5.8）</t>
  </si>
  <si>
    <t>SimHash/BERT 语义去重，支持批量算子化执行</t>
  </si>
  <si>
    <t>多维度噪声过滤</t>
  </si>
  <si>
    <t>数据治理（1.2）、中间处理数据层（7.4）</t>
  </si>
  <si>
    <t>正则+NLP 模型过滤低质量文本</t>
  </si>
  <si>
    <t>结构化处理</t>
  </si>
  <si>
    <t>数据治理（1.2）、数据集管理（1.1）</t>
  </si>
  <si>
    <t>Spark SQL/正则解析，统一字段格式</t>
  </si>
  <si>
    <t>语义标准化</t>
  </si>
  <si>
    <t>数据治理（1.2）</t>
  </si>
  <si>
    <t>同义词归一化、术语库管理</t>
  </si>
  <si>
    <t>上下文纠错</t>
  </si>
  <si>
    <t>BERT/ChatGLM 纠错模型结合规则引擎</t>
  </si>
  <si>
    <t>自动化解析（文本/公式/图片/表格）</t>
  </si>
  <si>
    <t>文本≥95%，公式≥85%，图片≥90%，表格≥90%，总体≥90%</t>
  </si>
  <si>
    <t>数据治理（1.2）、多模态AI数据湖（2.3）</t>
  </si>
  <si>
    <t>OCR、LaTeX 解析、表格结构化工具</t>
  </si>
  <si>
    <t>噪声消除</t>
  </si>
  <si>
    <t>≥98%</t>
  </si>
  <si>
    <t>高斯滤波、超分辨率（SR）模型</t>
  </si>
  <si>
    <t>相似度去重</t>
  </si>
  <si>
    <t>CLIP/ResNet 特征向量比对</t>
  </si>
  <si>
    <t>质量筛选</t>
  </si>
  <si>
    <t>清晰度、曝光度检测模型</t>
  </si>
  <si>
    <t>数据增强</t>
  </si>
  <si>
    <t>Albumentations 图像增强算子</t>
  </si>
  <si>
    <t>静音切除、音量均衡</t>
  </si>
  <si>
    <t>音频分段、归一化处理</t>
  </si>
  <si>
    <t>智能降噪与语音增强</t>
  </si>
  <si>
    <t>频谱减法、深度降噪模型</t>
  </si>
  <si>
    <t>语音分离与说话人识别</t>
  </si>
  <si>
    <t>Speaker Diarization 模型</t>
  </si>
  <si>
    <t>关键片段提取</t>
  </si>
  <si>
    <t>数据治理（1.2）、多模态检索（3.1）</t>
  </si>
  <si>
    <t>事件检测、特征匹配</t>
  </si>
  <si>
    <t>合规化处理</t>
  </si>
  <si>
    <t>数据治理（1.2）、权限管理（5.5）</t>
  </si>
  <si>
    <t>Presidio 脱敏、正则规则</t>
  </si>
  <si>
    <t>智能去噪与修复</t>
  </si>
  <si>
    <t>时域+空域滤波、修复模型</t>
  </si>
  <si>
    <t>质量筛选与增强</t>
  </si>
  <si>
    <t>分辨率检测、超分辨率增强</t>
  </si>
  <si>
    <t>音视频同步处理</t>
  </si>
  <si>
    <t>音画延迟检测与校正</t>
  </si>
  <si>
    <t>去重与关键帧提取</t>
  </si>
  <si>
    <t>数据治理（1.2）、多模态检索（3.1/3.2）</t>
  </si>
  <si>
    <t>关键帧提取+特征向量比对</t>
  </si>
  <si>
    <t>状态</t>
  </si>
  <si>
    <t>已具备版本控制管理，并有多模态数据处理全流程</t>
  </si>
  <si>
    <t>已支持自建算子，并可在线选择开启编排</t>
  </si>
  <si>
    <t>全文检索（ES 方案）</t>
  </si>
  <si>
    <t>全文检索（ES）</t>
  </si>
  <si>
    <t>倒排索引，高效全文检索，支持混合检索</t>
  </si>
  <si>
    <t>主选ES，适配大规模文本</t>
  </si>
  <si>
    <t>2.1 大数据研发平台（全链路一站式）</t>
  </si>
  <si>
    <t>4.2 数据集成工具（离线+流式）</t>
  </si>
  <si>
    <t>4.3 公共数据归集</t>
  </si>
  <si>
    <t>Milvus引擎、ES检索等</t>
  </si>
  <si>
    <t>4.4 行业数据归集</t>
  </si>
  <si>
    <t>MinIO基础存储，三级分层，缺POSIX</t>
  </si>
  <si>
    <t>5.2 统一数据目录（Catalog）</t>
  </si>
  <si>
    <t>5.6 智能存储（分层/TTL）</t>
  </si>
  <si>
    <t>5.9 模型部署（镜像/Processor）</t>
  </si>
  <si>
    <t>7.2 存储加速引擎（读写缓存）</t>
  </si>
  <si>
    <t>3.2 全文检索 Lance 轻量混检（在 ES 方案基础上）</t>
  </si>
  <si>
    <t>单人月：30,000 元</t>
  </si>
  <si>
    <t>月工时：22 天</t>
  </si>
  <si>
    <t>人天单价：≈ 1,364 元/天</t>
  </si>
  <si>
    <t>合计人天：4,016</t>
  </si>
  <si>
    <t>合计报价：5,476,224 元</t>
  </si>
  <si>
    <t>含 5% 预备金：5,750,035 元（约 575 万元）</t>
  </si>
  <si>
    <t>工时（人天）</t>
  </si>
  <si>
    <t>单人月：30,000 元
月工时：22 天
人天单价：≈ 1,364 元/天</t>
  </si>
  <si>
    <t>汇总说明</t>
  </si>
  <si>
    <t>标准产品：312万，高阶版产品：640万，完全定制版产品：916万</t>
  </si>
  <si>
    <t>功能点名称</t>
  </si>
  <si>
    <t>功能点描述</t>
  </si>
  <si>
    <t>功能点类型</t>
  </si>
  <si>
    <t>操作类型</t>
  </si>
  <si>
    <t>复杂度</t>
  </si>
  <si>
    <t>归属系统</t>
  </si>
  <si>
    <t>知识资源目录页面</t>
  </si>
  <si>
    <t>提供知识的分类展示、筛选与检索功能 。</t>
  </si>
  <si>
    <t>页面开发</t>
  </si>
  <si>
    <t>新增</t>
  </si>
  <si>
    <t>中</t>
  </si>
  <si>
    <t>数据中台</t>
  </si>
  <si>
    <t>知识中心页面订阅逻辑</t>
  </si>
  <si>
    <t>实现界面勾选订阅并触发接口数据同步 。</t>
  </si>
  <si>
    <t>逻辑开发</t>
  </si>
  <si>
    <t>数据集系统直接订阅逻辑</t>
  </si>
  <si>
    <t>实现基于 SFTP 协议的文件定向推送能力 。</t>
  </si>
  <si>
    <t>高</t>
  </si>
  <si>
    <t>订阅推送信息组合封装</t>
  </si>
  <si>
    <t>按照规范封装知识属性、目录、标签及用户信息 。</t>
  </si>
  <si>
    <t>PPT/PDF/WORD转TXT算子</t>
  </si>
  <si>
    <t>剥离文档格式标签，提取纯文本，支撑写作与分析 。</t>
  </si>
  <si>
    <t>ST31. 文件接口</t>
  </si>
  <si>
    <t>WORD信息提取转Excel算子</t>
  </si>
  <si>
    <t>（二期） 精准提取目标、进展等核心字段并结构化输出 。</t>
  </si>
  <si>
    <t>ST55. 数据加工</t>
  </si>
  <si>
    <t>EXCEL信息补齐算子</t>
  </si>
  <si>
    <t>（二期） 基于上下文语义对缺失的业务维度进行智能填充 。</t>
  </si>
  <si>
    <t>ST59. 大模型</t>
  </si>
  <si>
    <t>知识订阅白名单配置</t>
  </si>
  <si>
    <t>实现人员信息录入及与知识中心权限同步管理 。</t>
  </si>
  <si>
    <t>ST21. 业务服务</t>
  </si>
  <si>
    <t>知识资源目录订阅功能</t>
  </si>
  <si>
    <t>支持按文档、目录、场景维度的筛选与预览订阅 。</t>
  </si>
  <si>
    <t>ST11. 前端页面</t>
  </si>
  <si>
    <t>知识中心页面订阅模式</t>
  </si>
  <si>
    <t>通过标准化接口实时同步订阅关系及更新内容 。</t>
  </si>
  <si>
    <t>ST32. 实时接口</t>
  </si>
  <si>
    <t>数据集系统直接订阅模式</t>
  </si>
  <si>
    <t>建立安全 SFTP 通道，实现文件物理推送分发 。</t>
  </si>
  <si>
    <t>订阅推送内容明细封装</t>
  </si>
  <si>
    <t>封装唯一 URL、全量标签及用户身份信息 。</t>
  </si>
  <si>
    <t>低</t>
  </si>
  <si>
    <t>四类闭环审批流程服务</t>
  </si>
  <si>
    <t>包含知识发布、订阅、目录及标签的审批流 。</t>
  </si>
  <si>
    <t>ST41. 配置流程</t>
  </si>
  <si>
    <t>WORD转TXT</t>
  </si>
  <si>
    <t>配置开关</t>
  </si>
  <si>
    <t>LibreOffice、python-docx</t>
  </si>
  <si>
    <t>通算</t>
  </si>
  <si>
    <t>已上线</t>
  </si>
  <si>
    <t>业内通用</t>
  </si>
  <si>
    <t>张浩楠</t>
  </si>
  <si>
    <t>国信</t>
  </si>
  <si>
    <t>Word转TXT格式保留文字、表格同时去除文件水印、页眉、页脚、页码</t>
  </si>
  <si>
    <t>docx、doc</t>
  </si>
  <si>
    <t>txt</t>
  </si>
  <si>
    <t>PDF转TXT</t>
  </si>
  <si>
    <t>PyMuPDF、Mineru</t>
  </si>
  <si>
    <t>智算</t>
  </si>
  <si>
    <t>PDF转TXT格式（保留文字、表格同时去除文件水印、页眉、页脚、页码，支持文本型PDF、扫描型PDF文件）</t>
  </si>
  <si>
    <t>pdf</t>
  </si>
  <si>
    <t>PPT转TXT</t>
  </si>
  <si>
    <t>LibreOffice、python-pptx</t>
  </si>
  <si>
    <t>PPT转TXT格式保留文字、表格同时去除文件水印</t>
  </si>
  <si>
    <t>pptx、ppt</t>
  </si>
  <si>
    <t>四级 - 能力</t>
  </si>
  <si>
    <t>四级能力上线日期</t>
  </si>
  <si>
    <t>标准</t>
  </si>
  <si>
    <t>技术栈</t>
  </si>
  <si>
    <t>计算资源类型</t>
  </si>
  <si>
    <t>算子来源</t>
  </si>
  <si>
    <t>需求来源</t>
  </si>
  <si>
    <t>负责人</t>
  </si>
  <si>
    <t>分工</t>
  </si>
  <si>
    <t>备注</t>
  </si>
  <si>
    <t>处理举例</t>
  </si>
  <si>
    <t>处理效果展示</t>
  </si>
  <si>
    <t>算子介绍</t>
  </si>
  <si>
    <t>算子示例</t>
  </si>
  <si>
    <t>算子详细释义</t>
  </si>
  <si>
    <t>算子简介</t>
  </si>
  <si>
    <t>算子详情</t>
  </si>
  <si>
    <t>阈值范围</t>
  </si>
  <si>
    <t>单位</t>
  </si>
  <si>
    <t>输入范围</t>
  </si>
  <si>
    <t>输出范围</t>
  </si>
  <si>
    <t>功能名称</t>
  </si>
  <si>
    <t>分类</t>
  </si>
  <si>
    <t>处理后</t>
  </si>
  <si>
    <t>处理前</t>
  </si>
  <si>
    <t>文件格式识别与校验</t>
  </si>
  <si>
    <t>接收 Word/PDF/PPT 文件流并校验物理格式，过滤受损及加密文件。</t>
  </si>
  <si>
    <t>页面元素预处理（剥离冗余）</t>
  </si>
  <si>
    <t>调用技术栈定位并移除水印、页眉、页脚、页码等非业务冗余元素。</t>
  </si>
  <si>
    <t>ST54. 数据采集</t>
  </si>
  <si>
    <t>核心内容提取（文字与表格）</t>
  </si>
  <si>
    <t>提取正文及表格文字；支持文本型及扫描型 PDF 的 OCR 解析。</t>
  </si>
  <si>
    <t>文本标准化转换</t>
  </si>
  <si>
    <t>清洗冗余格式标签与空格，统一采用 UTF-8 编码封装为 TXT 结构。</t>
  </si>
  <si>
    <t>结果输出与反馈</t>
  </si>
  <si>
    <t>将生成的 TXT 存储至指定目录，并向系统反馈处理成功/失败状态。</t>
  </si>
  <si>
    <r>
      <rPr>
        <b val="1"/>
        <i val="0"/>
        <strike val="0"/>
      </rPr>
      <t>已具备版本控制管理</t>
    </r>
    <r>
      <rPr>
        <b val="0"/>
        <i val="0"/>
        <strike val="0"/>
      </rPr>
      <t>，并有多模态数据处理全流程</t>
    </r>
  </si>
  <si>
    <r>
      <rPr>
        <b val="1"/>
        <i val="0"/>
        <strike val="0"/>
      </rPr>
      <t>已支持自建算子</t>
    </r>
    <r>
      <rPr>
        <b val="0"/>
        <i val="0"/>
        <strike val="0"/>
      </rPr>
      <t>，并可在线选择开启编排</t>
    </r>
  </si>
  <si>
    <r>
      <rPr>
        <b val="1"/>
        <i val="0"/>
        <strike val="0"/>
      </rPr>
      <t>选型建议</t>
    </r>
    <r>
      <rPr>
        <b val="0"/>
        <i val="0"/>
        <strike val="0"/>
      </rPr>
      <t>：主选 Elasticsearch（适合 2.5 TB+ 主文本 + 百 TB 级描述文本），可补充 Lance 用于数据湖内轻量混合检索</t>
    </r>
  </si>
  <si>
    <r>
      <rPr>
        <rFont val="Microsoft YaHei"/>
        <b val="1"/>
        <i val="0"/>
        <strike val="0"/>
        <color rgb="FFFFFFFF"/>
        <sz val="14"/>
      </rPr>
      <t>示例详情</t>
    </r>
    <r>
      <rPr>
        <rFont val="Microsoft YaHei"/>
        <b val="1"/>
        <i val="0"/>
        <strike val="0"/>
        <color rgb="FFFFFFFF"/>
        <sz val="9"/>
      </rPr>
      <t xml:space="preserve">
（场景+算子阈值）</t>
    </r>
  </si>
  <si>
    <r>
      <rPr>
        <rFont val="Microsoft YaHei"/>
        <b val="1"/>
        <i val="0"/>
        <strike val="0"/>
        <color rgb="FFFFFFFF"/>
        <sz val="14"/>
      </rPr>
      <t>处理前</t>
    </r>
    <r>
      <rPr>
        <rFont val="Microsoft YaHei"/>
        <b val="1"/>
        <i val="0"/>
        <strike val="0"/>
        <color rgb="FFFFFFFF"/>
        <sz val="9"/>
      </rPr>
      <t xml:space="preserve">
（截图/..）</t>
    </r>
  </si>
  <si>
    <r>
      <rPr>
        <rFont val="Microsoft YaHei"/>
        <b val="1"/>
        <i val="0"/>
        <strike val="0"/>
        <color rgb="FFFFFFFF"/>
        <sz val="14"/>
      </rPr>
      <t>处理后</t>
    </r>
    <r>
      <rPr>
        <rFont val="Microsoft YaHei"/>
        <b val="1"/>
        <i val="0"/>
        <strike val="0"/>
        <color rgb="FFFFFFFF"/>
        <sz val="9"/>
      </rPr>
      <t xml:space="preserve">
（截图）</t>
    </r>
  </si>
  <si>
    <r>
      <rPr>
        <rFont val="Google Sans Text"/>
        <b val="1"/>
        <i val="0"/>
        <strike val="0"/>
        <color rgb="FF1F1F1F"/>
      </rPr>
      <t>（二期）</t>
    </r>
    <r>
      <rPr>
        <rFont val="Google Sans Text"/>
        <b val="0"/>
        <i val="0"/>
        <strike val="0"/>
        <color rgb="FF1F1F1F"/>
      </rPr>
      <t xml:space="preserve"> 提取目标、举措、进展等核心字段，实现数据结构化。</t>
    </r>
  </si>
  <si>
    <r>
      <rPr>
        <rFont val="Google Sans Text"/>
        <b val="1"/>
        <i val="0"/>
        <strike val="0"/>
        <color rgb="FF1F1F1F"/>
      </rPr>
      <t>（二期）</t>
    </r>
    <r>
      <rPr>
        <rFont val="Google Sans Text"/>
        <b val="0"/>
        <i val="0"/>
        <strike val="0"/>
        <color rgb="FF1F1F1F"/>
      </rPr>
      <t xml:space="preserve"> 依托 AI 上下文能力对台账缺失的核心业务字段进行补齐。</t>
    </r>
  </si>
</sst>
</file>

<file path=xl/styles.xml><?xml version="1.0" encoding="utf-8"?>
<styleSheet xmlns="http://schemas.openxmlformats.org/spreadsheetml/2006/main">
  <fonts count="1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  <sz val="10"/>
    </font>
    <font>
      <name val="Microsoft YaHei"/>
    </font>
    <font>
      <name val="Microsoft YaHei"/>
    </font>
    <font>
      <sz val="10"/>
    </font>
    <font>
      <b val="1"/>
      <color rgb="FFC00000"/>
    </font>
    <font>
      <name val="Google Sans Text"/>
      <b val="1"/>
      <color rgb="FF1F1F1F"/>
      <sz val="10"/>
    </font>
    <font>
      <name val="Google Sans Text"/>
      <color rgb="FF1F1F1F"/>
      <sz val="10"/>
    </font>
    <font>
      <name val="Google Sans Text"/>
      <color rgb="FF1F1F1F"/>
    </font>
    <font>
      <name val="Microsoft YaHei"/>
      <sz val="14"/>
    </font>
    <font>
      <name val="Microsoft YaHei"/>
      <sz val="9"/>
    </font>
    <font>
      <sz val="9"/>
    </font>
    <font>
      <name val="Microsoft YaHei"/>
      <sz val="10"/>
    </font>
    <font>
      <name val="Microsoft YaHei"/>
      <b val="1"/>
      <color rgb="FFFFFFFF"/>
      <sz val="14"/>
    </font>
    <font/>
    <font>
      <name val="Microsoft YaHei"/>
      <sz val="12"/>
    </font>
  </fonts>
  <fills count="1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2F2F2"/>
      </patternFill>
    </fill>
    <fill/>
    <fill/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C00000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C00000"/>
        <bgColor auto="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diagonal/>
    </border>
  </borders>
  <cellStyleXfs>
    <xf fontId="6" fillId="0" borderId="0" xfId="0" applyNumberFormat="1" applyFont="1" applyFill="1" applyBorder="1" applyAlignment="1">
      <alignment vertical="center"/>
    </xf>
  </cellStyleXfs>
  <cellXfs count="1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3" fillId="3" borderId="1" xfId="0">
      <alignment vertical="center" wrapText="1"/>
    </xf>
    <xf fontId="3" fillId="3" borderId="2" xfId="0">
      <alignment vertical="center" wrapText="1"/>
    </xf>
    <xf fontId="3" fillId="2" borderId="1" xfId="0">
      <alignment vertical="center" wrapText="1"/>
    </xf>
    <xf fontId="4" fillId="4" borderId="1" xfId="0">
      <alignment horizontal="center" vertical="center" wrapText="1"/>
    </xf>
    <xf fontId="4" fillId="4" borderId="1" xfId="0">
      <alignment vertical="center" wrapText="1"/>
    </xf>
    <xf fontId="0" fillId="4" borderId="1" xfId="0">
      <alignment vertical="center" wrapText="1"/>
    </xf>
    <xf fontId="0" fillId="4" borderId="2" xfId="0">
      <alignment vertical="center" wrapText="1"/>
    </xf>
    <xf fontId="0" fillId="0" borderId="2" xfId="0">
      <alignment vertical="center"/>
    </xf>
    <xf fontId="0" fillId="0" borderId="1" xfId="0">
      <alignment vertical="center"/>
    </xf>
    <xf fontId="5" fillId="5" borderId="3" xfId="0">
      <alignment horizontal="center" vertical="center" wrapText="1"/>
    </xf>
    <xf fontId="0" fillId="0" borderId="1" xfId="0">
      <alignment vertical="center" wrapText="1"/>
    </xf>
    <xf fontId="0" fillId="0" borderId="2" xfId="0">
      <alignment vertical="center" wrapText="1"/>
    </xf>
    <xf fontId="0" fillId="0" borderId="4" xfId="0">
      <alignment vertical="center"/>
    </xf>
    <xf fontId="0" fillId="0" borderId="5" xfId="0">
      <alignment vertical="center"/>
    </xf>
    <xf fontId="6" fillId="6" borderId="3" xfId="0">
      <alignment horizontal="center" vertical="center" wrapText="1"/>
    </xf>
    <xf fontId="7" fillId="6" borderId="1" xfId="0">
      <alignment horizontal="center" vertical="center" wrapText="1"/>
    </xf>
    <xf fontId="8" fillId="7" borderId="0" xfId="0">
      <alignment vertical="center" wrapText="1"/>
    </xf>
    <xf fontId="3" fillId="8" borderId="1" xfId="0">
      <alignment vertical="center" wrapText="1"/>
    </xf>
    <xf fontId="4" fillId="8" borderId="1" xfId="0">
      <alignment vertical="center"/>
    </xf>
    <xf fontId="4" fillId="8" borderId="1" xfId="0">
      <alignment vertical="center" wrapText="1"/>
    </xf>
    <xf fontId="0" fillId="0" borderId="0" xfId="0">
      <alignment vertical="center" wrapText="1"/>
    </xf>
    <xf fontId="4" fillId="0" borderId="6" xfId="0">
      <alignment vertical="center"/>
    </xf>
    <xf fontId="7" fillId="0" borderId="1" xfId="0">
      <alignment vertical="center" wrapText="1"/>
    </xf>
    <xf fontId="0" fillId="0" borderId="7" xfId="0">
      <alignment vertical="center"/>
    </xf>
    <xf fontId="0" fillId="0" borderId="8" xfId="0">
      <alignment vertical="center"/>
    </xf>
    <xf fontId="3" fillId="3" borderId="1" xfId="0">
      <alignment horizontal="center" vertical="center" wrapText="1"/>
    </xf>
    <xf fontId="4" fillId="9" borderId="1" xfId="0">
      <alignment horizontal="center" vertical="center" wrapText="1"/>
    </xf>
    <xf fontId="4" fillId="9" borderId="1" xfId="0">
      <alignment vertical="center" wrapText="1"/>
    </xf>
    <xf fontId="0" fillId="9" borderId="1" xfId="0">
      <alignment vertical="center" wrapText="1"/>
    </xf>
    <xf fontId="0" fillId="9" borderId="2" xfId="0">
      <alignment vertical="center" wrapText="1"/>
    </xf>
    <xf numFmtId="61" fontId="0" fillId="0" borderId="0" xfId="0">
      <alignment vertical="center"/>
    </xf>
    <xf fontId="6" fillId="0" borderId="1" xfId="0">
      <alignment horizontal="center" vertical="center" wrapText="1"/>
    </xf>
    <xf fontId="4" fillId="0" borderId="1" xfId="0">
      <alignment horizontal="center" vertical="center" wrapText="1"/>
    </xf>
    <xf fontId="0" fillId="0" borderId="0" xfId="0">
      <alignment horizontal="center" vertical="center"/>
    </xf>
    <xf fontId="7" fillId="0" borderId="0" xfId="0">
      <alignment vertical="center"/>
    </xf>
    <xf fontId="4" fillId="10" borderId="1" xfId="0">
      <alignment horizontal="center" vertical="center" wrapText="1"/>
    </xf>
    <xf fontId="4" fillId="10" borderId="1" xfId="0">
      <alignment vertical="center" wrapText="1"/>
    </xf>
    <xf fontId="0" fillId="10" borderId="1" xfId="0">
      <alignment vertical="center" wrapText="1"/>
    </xf>
    <xf fontId="0" fillId="10" borderId="2" xfId="0">
      <alignment vertical="center" wrapText="1"/>
    </xf>
    <xf fontId="3" fillId="3" borderId="9" xfId="0">
      <alignment vertical="center" wrapText="1"/>
    </xf>
    <xf fontId="3" fillId="2" borderId="6" xfId="0">
      <alignment vertical="center" wrapText="1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3" fillId="2" borderId="9" xfId="0">
      <alignment vertical="center" wrapText="1"/>
    </xf>
    <xf fontId="0" fillId="0" borderId="13" xfId="0">
      <alignment vertical="center"/>
    </xf>
    <xf fontId="9" fillId="0" borderId="0" xfId="0">
      <alignment vertical="center"/>
    </xf>
    <xf fontId="10" fillId="0" borderId="0" xfId="0">
      <alignment vertical="center"/>
    </xf>
    <xf fontId="11" fillId="0" borderId="0" xfId="0">
      <alignment vertical="center"/>
    </xf>
    <xf fontId="9" fillId="0" borderId="1" xfId="0">
      <alignment vertical="center"/>
    </xf>
    <xf fontId="10" fillId="0" borderId="1" xfId="0">
      <alignment vertical="center"/>
    </xf>
    <xf fontId="11" fillId="0" borderId="1" xfId="0">
      <alignment vertical="center"/>
    </xf>
    <xf fontId="7" fillId="0" borderId="0" xfId="0">
      <alignment vertical="center"/>
    </xf>
    <xf fontId="12" fillId="0" borderId="1" xfId="0">
      <alignment vertical="top" textRotation="0" wrapText="1" indent="0" justifyLastLine="0" shrinkToFit="0"/>
    </xf>
    <xf fontId="13" fillId="0" borderId="1" xfId="0">
      <alignment vertical="top" textRotation="0" indent="0" justifyLastLine="0" shrinkToFit="0"/>
    </xf>
    <xf fontId="14" fillId="0" borderId="1" xfId="0">
      <alignment vertical="center" textRotation="0" indent="0" justifyLastLine="0" shrinkToFit="0"/>
    </xf>
    <xf fontId="12" fillId="0" borderId="1" xfId="0">
      <alignment vertical="center" wrapText="1"/>
    </xf>
    <xf fontId="12" fillId="0" borderId="1" xfId="0">
      <alignment vertical="center" textRotation="0" wrapText="1" indent="0" justifyLastLine="0" shrinkToFit="0"/>
    </xf>
    <xf fontId="0" fillId="0" borderId="1" xfId="0">
      <alignment vertical="center"/>
    </xf>
    <xf fontId="12" fillId="0" borderId="1" xfId="0">
      <alignment vertical="top" wrapText="1"/>
    </xf>
    <xf fontId="0" fillId="0" borderId="1" xfId="0">
      <alignment vertical="center" wrapText="1"/>
    </xf>
    <xf fontId="15" fillId="0" borderId="1" xfId="0">
      <alignment vertical="top" textRotation="0" wrapText="1" indent="0" justifyLastLine="0" shrinkToFit="0"/>
    </xf>
    <xf fontId="13" fillId="0" borderId="1" xfId="0">
      <alignment vertical="top" textRotation="0" indent="0" justifyLastLine="0" shrinkToFit="0"/>
    </xf>
    <xf fontId="14" fillId="0" borderId="1" xfId="0">
      <alignment vertical="center" textRotation="0" indent="0" justifyLastLine="0" shrinkToFit="0"/>
    </xf>
    <xf fontId="12" fillId="0" borderId="1" xfId="0">
      <alignment vertical="center" wrapText="1"/>
    </xf>
    <xf fontId="12" fillId="0" borderId="1" xfId="0">
      <alignment vertical="center" textRotation="0" wrapText="1" indent="0" justifyLastLine="0" shrinkToFit="0"/>
    </xf>
    <xf fontId="0" fillId="0" borderId="1" xfId="0">
      <alignment vertical="center"/>
    </xf>
    <xf fontId="12" fillId="0" borderId="1" xfId="0">
      <alignment vertical="top" wrapText="1"/>
    </xf>
    <xf fontId="12" fillId="0" borderId="0" xfId="0">
      <alignment vertical="top" textRotation="0" wrapText="1" indent="0" justifyLastLine="0" shrinkToFit="0"/>
    </xf>
    <xf fontId="13" fillId="0" borderId="0" xfId="0">
      <alignment vertical="top" textRotation="0" indent="0" justifyLastLine="0" shrinkToFit="0"/>
    </xf>
    <xf fontId="14" fillId="0" borderId="0" xfId="0">
      <alignment vertical="center" textRotation="0" indent="0" justifyLastLine="0" shrinkToFit="0"/>
    </xf>
    <xf fontId="12" fillId="0" borderId="0" xfId="0">
      <alignment vertical="center" wrapText="1"/>
    </xf>
    <xf fontId="12" fillId="0" borderId="0" xfId="0">
      <alignment vertical="center" textRotation="0" wrapText="1" indent="0" justifyLastLine="0" shrinkToFit="0"/>
    </xf>
    <xf fontId="0" fillId="0" borderId="0" xfId="0">
      <alignment vertical="center"/>
    </xf>
    <xf fontId="12" fillId="0" borderId="0" xfId="0">
      <alignment vertical="top" wrapText="1"/>
    </xf>
    <xf fontId="15" fillId="0" borderId="0" xfId="0">
      <alignment vertical="top" textRotation="0" wrapText="1" indent="0" justifyLastLine="0" shrinkToFit="0"/>
    </xf>
    <xf fontId="16" fillId="11" borderId="1" xfId="0">
      <alignment horizontal="center" vertical="center" textRotation="0" wrapText="1" indent="0" justifyLastLine="0" shrinkToFit="0"/>
    </xf>
    <xf fontId="16" fillId="11" borderId="2" xfId="0">
      <alignment horizontal="center" vertical="center" textRotation="0" wrapText="1" indent="0" justifyLastLine="0" shrinkToFit="0"/>
    </xf>
    <xf fontId="17" fillId="0" borderId="2" xfId="0">
      <alignment vertical="center"/>
    </xf>
    <xf fontId="16" fillId="11" borderId="4" xfId="0">
      <alignment horizontal="center" vertical="center" textRotation="0" wrapText="1" indent="0" justifyLastLine="0" shrinkToFit="0"/>
    </xf>
    <xf fontId="0" fillId="0" borderId="4" xfId="0">
      <alignment vertical="center"/>
    </xf>
    <xf fontId="17" fillId="0" borderId="1" xfId="0">
      <alignment vertical="center"/>
    </xf>
    <xf fontId="17" fillId="0" borderId="1" xfId="0">
      <alignment vertical="center"/>
    </xf>
    <xf fontId="16" fillId="12" borderId="1" xfId="0">
      <alignment horizontal="center" vertical="center" textRotation="0" wrapText="1" indent="0" justifyLastLine="0" shrinkToFit="0"/>
    </xf>
    <xf fontId="16" fillId="11" borderId="1" xfId="0">
      <alignment horizontal="center" vertical="center" textRotation="0" wrapText="1" indent="0" justifyLastLine="0" shrinkToFit="0"/>
    </xf>
    <xf fontId="17" fillId="11" borderId="1" xfId="0">
      <alignment horizontal="center" vertical="center" textRotation="0" wrapText="1" indent="0" justifyLastLine="0" shrinkToFit="0"/>
    </xf>
    <xf fontId="12" fillId="0" borderId="0" xfId="0">
      <alignment vertical="top" textRotation="0" wrapText="1" justifyLastLine="0" shrinkToFit="0"/>
    </xf>
    <xf fontId="13" fillId="0" borderId="0" xfId="0">
      <alignment vertical="top" textRotation="0" justifyLastLine="0" shrinkToFit="0"/>
    </xf>
    <xf fontId="14" fillId="0" borderId="0" xfId="0">
      <alignment vertical="center" textRotation="0" justifyLastLine="0" shrinkToFit="0"/>
    </xf>
    <xf fontId="12" fillId="0" borderId="0" xfId="0">
      <alignment vertical="center" wrapText="1" justifyLastLine="0" shrinkToFit="0"/>
    </xf>
    <xf fontId="12" fillId="0" borderId="0" xfId="0">
      <alignment vertical="center" textRotation="0" wrapText="1" justifyLastLine="0" shrinkToFit="0"/>
    </xf>
    <xf fontId="0" fillId="0" borderId="0" xfId="0">
      <alignment vertical="center" justifyLastLine="0" shrinkToFit="0"/>
    </xf>
    <xf fontId="12" fillId="0" borderId="0" xfId="0">
      <alignment vertical="top" wrapText="1" justifyLastLine="0" shrinkToFit="0"/>
    </xf>
    <xf fontId="0" fillId="0" borderId="0" xfId="0">
      <alignment vertical="center" wrapText="1" justifyLastLine="0" shrinkToFit="0"/>
    </xf>
    <xf fontId="15" fillId="0" borderId="0" xfId="0">
      <alignment vertical="top" textRotation="0" wrapText="1" justifyLastLine="0" shrinkToFit="0"/>
    </xf>
    <xf fontId="12" fillId="0" borderId="1" xfId="0">
      <alignment vertical="center" wrapText="1" justifyLastLine="0" shrinkToFit="0"/>
    </xf>
    <xf fontId="12" fillId="0" borderId="1" xfId="0">
      <alignment vertical="top" wrapText="1" justifyLastLine="0" shrinkToFit="0"/>
    </xf>
    <xf fontId="0" fillId="0" borderId="1" xfId="0">
      <alignment vertical="center" wrapText="1" justifyLastLine="0" shrinkToFit="0"/>
    </xf>
    <xf fontId="15" fillId="0" borderId="1" xfId="0">
      <alignment vertical="top" textRotation="0" wrapText="1" justifyLastLine="0" shrinkToFit="0"/>
    </xf>
    <xf fontId="12" fillId="0" borderId="1" xfId="0">
      <alignment vertical="top" wrapText="1" justifyLastLine="0" shrinkToFit="0"/>
    </xf>
    <xf fontId="12" fillId="0" borderId="1" xfId="0">
      <alignment vertical="top" textRotation="0" wrapText="1" justifyLastLine="0" shrinkToFit="0"/>
    </xf>
    <xf fontId="17" fillId="11" borderId="1" xfId="0">
      <alignment horizontal="center" vertical="center" textRotation="0" wrapText="1" indent="0" justifyLastLine="0" shrinkToFit="0"/>
    </xf>
    <xf fontId="16" fillId="13" borderId="1" xfId="0">
      <alignment horizontal="center" vertical="center" textRotation="0" wrapText="1" indent="0" justifyLastLine="0" shrinkToFit="0"/>
    </xf>
    <xf fontId="16" fillId="13" borderId="2" xfId="0">
      <alignment horizontal="center" vertical="center" textRotation="0" wrapText="1" indent="0" justifyLastLine="0" shrinkToFit="0"/>
    </xf>
    <xf fontId="18" fillId="0" borderId="1" xfId="0">
      <alignment vertical="top" textRotation="0" wrapText="1" indent="0" justifyLastLine="0" shrinkToFit="0"/>
    </xf>
    <xf fontId="18" fillId="0" borderId="1" xfId="0">
      <alignment vertical="top" textRotation="0" wrapText="1" justifyLastLine="0" shrinkToFit="0"/>
    </xf>
    <xf fontId="16" fillId="13" borderId="0" xfId="0">
      <alignment horizontal="center" vertical="center" textRotation="0" wrapText="1" indent="0" justifyLastLine="0" shrinkToFit="0"/>
    </xf>
    <xf fontId="18" fillId="0" borderId="0" xfId="0">
      <alignment vertical="top" textRotation="0" wrapText="1" justifyLastLine="0" shrinkToFit="0"/>
    </xf>
    <xf fontId="18" fillId="0" borderId="0" xfId="0">
      <alignment vertical="top" textRotation="0" wrapText="1" indent="0" justifyLastLine="0" shrinkToFit="0"/>
    </xf>
    <xf fontId="0" fillId="0" borderId="1" xfId="0">
      <alignment horizontal="center" vertical="center"/>
    </xf>
    <xf fontId="6" fillId="6" borderId="14" xfId="0">
      <alignment horizontal="center" vertical="center" wrapText="1"/>
    </xf>
    <xf fontId="0" fillId="0" borderId="6" xfId="0">
      <alignment vertical="center" wrapText="1"/>
    </xf>
    <xf fontId="0" fillId="0" borderId="9" xfId="0">
      <alignment vertical="center" wrapText="1"/>
    </xf>
    <xf fontId="0" fillId="0" borderId="6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1-评估表">
    <tabColor/>
  </sheetPr>
  <dimension ref="G38"/>
  <sheetViews>
    <sheetView showGridLines="1" rightToLeft="0" workbookViewId="0"/>
  </sheetViews>
  <sheetFormatPr baseColWidth="13" defaultRowHeight="18" customHeight="1"/>
  <cols>
    <col min="1" max="1" width="9.57422" style="38" customWidth="1"/>
    <col min="2" max="2" width="16.9922" customWidth="1"/>
    <col min="3" max="3" width="50.9844" customWidth="1"/>
    <col min="4" max="4" width="41.2734" customWidth="1"/>
    <col min="5" max="5" width="37.2227" customWidth="1"/>
    <col min="6" max="7" width="22.5234" customWidth="1"/>
    <col min="8" max="8" width="27.1133" customWidth="1"/>
  </cols>
  <sheetData>
    <row r="1" spans="1:9">
      <c r="A1" s="4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44" t="s">
        <v>201</v>
      </c>
      <c r="G1" s="45" t="s">
        <v>7</v>
      </c>
      <c r="H1" s="49" t="s">
        <v>203</v>
      </c>
      <c r="I1" s="50" t="s"/>
    </row>
    <row r="2" spans="1:9" ht="38.25" customHeight="1">
      <c r="A2" s="8">
        <v>1</v>
      </c>
      <c r="B2" s="9" t="s">
        <v>8</v>
      </c>
      <c r="C2" s="10" t="s">
        <v>9</v>
      </c>
      <c r="D2" s="10" t="s">
        <v>10</v>
      </c>
      <c r="E2" s="11" t="s"/>
      <c r="F2" s="13" t="s"/>
      <c r="G2" s="13" t="s"/>
      <c r="H2" s="16" t="s">
        <v>202</v>
      </c>
      <c r="I2" s="48" t="s"/>
    </row>
    <row r="3" spans="1:10">
      <c r="A3" s="14">
        <v>1.1</v>
      </c>
      <c r="B3" s="15" t="s">
        <v>11</v>
      </c>
      <c r="C3" s="15" t="s">
        <v>12</v>
      </c>
      <c r="D3" s="15" t="s">
        <v>307</v>
      </c>
      <c r="E3" s="16" t="s">
        <v>13</v>
      </c>
      <c r="F3" s="13">
        <v>80</v>
      </c>
      <c r="G3" s="13">
        <v>109120</v>
      </c>
      <c r="H3" s="46" t="s">
        <v>13</v>
      </c>
      <c r="I3" s="47">
        <v>1200320</v>
      </c>
      <c r="J3">
        <f>=I3*2.6</f>
        <v>3120832</v>
      </c>
    </row>
    <row r="4" spans="1:10">
      <c r="A4" s="14">
        <v>1.2</v>
      </c>
      <c r="B4" s="15" t="s">
        <v>14</v>
      </c>
      <c r="C4" s="15" t="s">
        <v>15</v>
      </c>
      <c r="D4" s="15" t="s">
        <v>308</v>
      </c>
      <c r="E4" s="16" t="s">
        <v>13</v>
      </c>
      <c r="F4" s="13">
        <v>140</v>
      </c>
      <c r="G4" s="13">
        <v>190960</v>
      </c>
      <c r="H4" s="18" t="s">
        <v>16</v>
      </c>
      <c r="I4" s="13">
        <v>2182400</v>
      </c>
      <c r="J4">
        <f>=I4*1.5</f>
        <v>3273600</v>
      </c>
    </row>
    <row r="5" spans="1:10">
      <c r="A5" s="14">
        <v>1.3</v>
      </c>
      <c r="B5" s="15" t="s">
        <v>17</v>
      </c>
      <c r="C5" s="15" t="s">
        <v>18</v>
      </c>
      <c r="D5" s="15" t="s">
        <v>19</v>
      </c>
      <c r="E5" s="16" t="s">
        <v>16</v>
      </c>
      <c r="F5" s="13">
        <v>160</v>
      </c>
      <c r="G5" s="13">
        <v>218240</v>
      </c>
      <c r="H5" s="18" t="s">
        <v>20</v>
      </c>
      <c r="I5" s="13">
        <v>1855040</v>
      </c>
      <c r="J5">
        <f>=I5*1.5</f>
        <v>2782560</v>
      </c>
    </row>
    <row r="6" spans="1:7">
      <c r="A6" s="14">
        <v>1.4</v>
      </c>
      <c r="B6" s="15" t="s">
        <v>21</v>
      </c>
      <c r="C6" s="15" t="s">
        <v>22</v>
      </c>
      <c r="D6" s="15" t="s">
        <v>23</v>
      </c>
      <c r="E6" s="16" t="s">
        <v>16</v>
      </c>
      <c r="F6" s="13">
        <v>180</v>
      </c>
      <c r="G6" s="13">
        <v>245520</v>
      </c>
    </row>
    <row r="7" spans="1:9">
      <c r="A7" s="19">
        <v>1.5</v>
      </c>
      <c r="B7" s="15" t="s">
        <v>24</v>
      </c>
      <c r="C7" s="15" t="s">
        <v>25</v>
      </c>
      <c r="D7" s="15" t="s">
        <v>26</v>
      </c>
      <c r="E7" s="16" t="s">
        <v>16</v>
      </c>
      <c r="F7" s="13">
        <v>160</v>
      </c>
      <c r="G7" s="13">
        <v>218240</v>
      </c>
      <c r="I7" t="s">
        <v>204</v>
      </c>
    </row>
    <row r="8" spans="1:7">
      <c r="A8" s="8">
        <v>2</v>
      </c>
      <c r="B8" s="9" t="s">
        <v>27</v>
      </c>
      <c r="C8" s="10" t="s"/>
      <c r="D8" s="10" t="s"/>
      <c r="E8" s="11" t="s"/>
      <c r="F8" s="13" t="s"/>
      <c r="G8" s="13" t="s"/>
    </row>
    <row r="9" spans="1:7" ht="34.5" customHeight="1">
      <c r="A9" s="14">
        <v>2.1</v>
      </c>
      <c r="B9" s="15" t="s">
        <v>28</v>
      </c>
      <c r="C9" s="15" t="s">
        <v>29</v>
      </c>
      <c r="D9" s="15" t="s">
        <v>30</v>
      </c>
      <c r="E9" s="16" t="s">
        <v>20</v>
      </c>
      <c r="F9" s="13">
        <v>300</v>
      </c>
      <c r="G9" s="13">
        <v>409200</v>
      </c>
    </row>
    <row r="10" spans="1:7">
      <c r="A10" s="14">
        <v>2.2</v>
      </c>
      <c r="B10" s="15" t="s">
        <v>31</v>
      </c>
      <c r="C10" s="15" t="s">
        <v>32</v>
      </c>
      <c r="D10" s="15" t="s">
        <v>33</v>
      </c>
      <c r="E10" s="16" t="s">
        <v>13</v>
      </c>
      <c r="F10" s="13">
        <v>80</v>
      </c>
      <c r="G10" s="13">
        <v>109120</v>
      </c>
    </row>
    <row r="11" spans="1:7">
      <c r="A11" s="19">
        <v>2.3</v>
      </c>
      <c r="B11" s="15" t="s">
        <v>34</v>
      </c>
      <c r="C11" s="15" t="s">
        <v>35</v>
      </c>
      <c r="D11" s="15" t="s">
        <v>36</v>
      </c>
      <c r="E11" s="16" t="s">
        <v>13</v>
      </c>
      <c r="F11" s="13">
        <v>100</v>
      </c>
      <c r="G11" s="13">
        <v>136400</v>
      </c>
    </row>
    <row r="12" spans="1:7">
      <c r="A12" s="8">
        <v>3</v>
      </c>
      <c r="B12" s="9" t="s">
        <v>37</v>
      </c>
      <c r="C12" s="10" t="s"/>
      <c r="D12" s="10" t="s"/>
      <c r="E12" s="11" t="s"/>
      <c r="F12" s="13" t="s"/>
      <c r="G12" s="13" t="s"/>
    </row>
    <row r="13" spans="1:7">
      <c r="A13" s="14">
        <v>3.1</v>
      </c>
      <c r="B13" s="15" t="s">
        <v>38</v>
      </c>
      <c r="C13" s="15" t="s">
        <v>39</v>
      </c>
      <c r="D13" s="15" t="s">
        <v>40</v>
      </c>
      <c r="E13" s="16" t="s">
        <v>13</v>
      </c>
      <c r="F13" s="13">
        <v>60</v>
      </c>
      <c r="G13" s="13">
        <v>81840</v>
      </c>
    </row>
    <row r="14" spans="1:7">
      <c r="A14" s="20">
        <v>3.2</v>
      </c>
      <c r="B14" s="15" t="s">
        <v>41</v>
      </c>
      <c r="C14" s="15" t="s">
        <v>42</v>
      </c>
      <c r="D14" s="15" t="s">
        <v>309</v>
      </c>
      <c r="E14" s="16" t="s">
        <v>43</v>
      </c>
      <c r="F14" s="13">
        <v>200</v>
      </c>
      <c r="G14" s="13">
        <v>272800</v>
      </c>
    </row>
    <row r="15" spans="1:7">
      <c r="A15" s="8">
        <v>4</v>
      </c>
      <c r="B15" s="9" t="s">
        <v>44</v>
      </c>
      <c r="C15" s="10" t="s"/>
      <c r="D15" s="10" t="s"/>
      <c r="E15" s="11" t="s"/>
      <c r="F15" s="13" t="s"/>
      <c r="G15" s="13" t="s"/>
    </row>
    <row r="16" spans="1:7">
      <c r="A16" s="14">
        <v>4.1</v>
      </c>
      <c r="B16" s="15" t="s">
        <v>45</v>
      </c>
      <c r="C16" s="15" t="s">
        <v>46</v>
      </c>
      <c r="D16" s="15" t="s">
        <v>47</v>
      </c>
      <c r="E16" s="16" t="s">
        <v>13</v>
      </c>
      <c r="F16" s="13">
        <v>60</v>
      </c>
      <c r="G16" s="13">
        <v>81840</v>
      </c>
    </row>
    <row r="17" spans="1:7">
      <c r="A17" s="14">
        <v>4.2</v>
      </c>
      <c r="B17" s="15" t="s">
        <v>48</v>
      </c>
      <c r="C17" s="15" t="s">
        <v>49</v>
      </c>
      <c r="D17" s="15" t="s">
        <v>50</v>
      </c>
      <c r="E17" s="16" t="s">
        <v>20</v>
      </c>
      <c r="F17" s="13">
        <v>160</v>
      </c>
      <c r="G17" s="13">
        <v>218240</v>
      </c>
    </row>
    <row r="18" spans="1:7">
      <c r="A18" s="14">
        <v>4.3</v>
      </c>
      <c r="B18" s="15" t="s">
        <v>51</v>
      </c>
      <c r="C18" s="15" t="s">
        <v>52</v>
      </c>
      <c r="D18" s="15" t="s">
        <v>53</v>
      </c>
      <c r="E18" s="16" t="s">
        <v>20</v>
      </c>
      <c r="F18" s="13">
        <v>100</v>
      </c>
      <c r="G18" s="13">
        <v>136400</v>
      </c>
    </row>
    <row r="19" spans="1:7">
      <c r="A19" s="14">
        <v>4.4</v>
      </c>
      <c r="B19" s="15" t="s">
        <v>54</v>
      </c>
      <c r="C19" s="15" t="s">
        <v>55</v>
      </c>
      <c r="D19" s="15" t="s">
        <v>53</v>
      </c>
      <c r="E19" s="16" t="s">
        <v>20</v>
      </c>
      <c r="F19" s="13">
        <v>120</v>
      </c>
      <c r="G19" s="13">
        <v>163680</v>
      </c>
    </row>
    <row r="20" spans="1:7">
      <c r="A20" s="19">
        <v>4.5</v>
      </c>
      <c r="B20" s="15" t="s">
        <v>56</v>
      </c>
      <c r="C20" s="15" t="s">
        <v>57</v>
      </c>
      <c r="D20" s="15" t="s">
        <v>58</v>
      </c>
      <c r="E20" s="16" t="s">
        <v>16</v>
      </c>
      <c r="F20" s="13">
        <v>120</v>
      </c>
      <c r="G20" s="13">
        <v>163680</v>
      </c>
    </row>
    <row r="21" spans="1:7">
      <c r="A21" s="8">
        <v>5</v>
      </c>
      <c r="B21" s="9" t="s">
        <v>59</v>
      </c>
      <c r="C21" s="10" t="s"/>
      <c r="D21" s="10" t="s"/>
      <c r="E21" s="11" t="s"/>
      <c r="F21" s="13" t="s"/>
      <c r="G21" s="13" t="s"/>
    </row>
    <row r="22" spans="1:7">
      <c r="A22" s="14">
        <v>5.1</v>
      </c>
      <c r="B22" s="15" t="s">
        <v>60</v>
      </c>
      <c r="C22" s="15" t="s">
        <v>61</v>
      </c>
      <c r="D22" s="15" t="s">
        <v>62</v>
      </c>
      <c r="E22" s="16" t="s">
        <v>16</v>
      </c>
      <c r="F22" s="13">
        <v>100</v>
      </c>
      <c r="G22" s="13">
        <v>136400</v>
      </c>
    </row>
    <row r="23" spans="1:7">
      <c r="A23" s="14">
        <v>5.2</v>
      </c>
      <c r="B23" s="15" t="s">
        <v>63</v>
      </c>
      <c r="C23" s="15" t="s">
        <v>64</v>
      </c>
      <c r="D23" s="15" t="s">
        <v>50</v>
      </c>
      <c r="E23" s="16" t="s">
        <v>20</v>
      </c>
      <c r="F23" s="13">
        <v>160</v>
      </c>
      <c r="G23" s="13">
        <v>218240</v>
      </c>
    </row>
    <row r="24" spans="1:7">
      <c r="A24" s="14">
        <v>5.3</v>
      </c>
      <c r="B24" s="15" t="s">
        <v>65</v>
      </c>
      <c r="C24" s="15" t="s">
        <v>66</v>
      </c>
      <c r="D24" s="15" t="s">
        <v>67</v>
      </c>
      <c r="E24" s="16" t="s">
        <v>13</v>
      </c>
      <c r="F24" s="13">
        <v>60</v>
      </c>
      <c r="G24" s="13">
        <v>81840</v>
      </c>
    </row>
    <row r="25" spans="1:7">
      <c r="A25" s="14">
        <v>5.4</v>
      </c>
      <c r="B25" s="15" t="s">
        <v>68</v>
      </c>
      <c r="C25" s="15" t="s">
        <v>69</v>
      </c>
      <c r="D25" s="15" t="s">
        <v>70</v>
      </c>
      <c r="E25" s="16" t="s">
        <v>16</v>
      </c>
      <c r="F25" s="13">
        <v>120</v>
      </c>
      <c r="G25" s="13">
        <v>163680</v>
      </c>
    </row>
    <row r="26" spans="1:7">
      <c r="A26" s="14">
        <v>5.5</v>
      </c>
      <c r="B26" s="15" t="s">
        <v>71</v>
      </c>
      <c r="C26" s="15" t="s">
        <v>72</v>
      </c>
      <c r="D26" s="15" t="s">
        <v>73</v>
      </c>
      <c r="E26" s="16" t="s">
        <v>16</v>
      </c>
      <c r="F26" s="13">
        <v>120</v>
      </c>
      <c r="G26" s="13">
        <v>163680</v>
      </c>
    </row>
    <row r="27" spans="1:7">
      <c r="A27" s="14">
        <v>5.6</v>
      </c>
      <c r="B27" s="15" t="s">
        <v>74</v>
      </c>
      <c r="C27" s="15" t="s">
        <v>75</v>
      </c>
      <c r="D27" s="15" t="s">
        <v>50</v>
      </c>
      <c r="E27" s="16" t="s">
        <v>20</v>
      </c>
      <c r="F27" s="13">
        <v>180</v>
      </c>
      <c r="G27" s="13">
        <v>245520</v>
      </c>
    </row>
    <row r="28" spans="1:7">
      <c r="A28" s="14">
        <v>5.7</v>
      </c>
      <c r="B28" s="15" t="s">
        <v>76</v>
      </c>
      <c r="C28" s="15" t="s">
        <v>77</v>
      </c>
      <c r="D28" s="15" t="s">
        <v>78</v>
      </c>
      <c r="E28" s="16" t="s">
        <v>16</v>
      </c>
      <c r="F28" s="13">
        <v>120</v>
      </c>
      <c r="G28" s="13">
        <v>163680</v>
      </c>
    </row>
    <row r="29" spans="1:7">
      <c r="A29" s="14">
        <v>5.8</v>
      </c>
      <c r="B29" s="15" t="s">
        <v>79</v>
      </c>
      <c r="C29" s="15" t="s">
        <v>80</v>
      </c>
      <c r="D29" s="15" t="s">
        <v>81</v>
      </c>
      <c r="E29" s="16" t="s">
        <v>16</v>
      </c>
      <c r="F29" s="13">
        <v>140</v>
      </c>
      <c r="G29" s="13">
        <v>190960</v>
      </c>
    </row>
    <row r="30" spans="1:7">
      <c r="A30" s="19">
        <v>5.9</v>
      </c>
      <c r="B30" s="15" t="s">
        <v>82</v>
      </c>
      <c r="C30" s="15" t="s">
        <v>83</v>
      </c>
      <c r="D30" s="15" t="s">
        <v>50</v>
      </c>
      <c r="E30" s="16" t="s">
        <v>20</v>
      </c>
      <c r="F30" s="13">
        <v>180</v>
      </c>
      <c r="G30" s="13">
        <v>245520</v>
      </c>
    </row>
    <row r="31" spans="1:7">
      <c r="A31" s="8">
        <v>6</v>
      </c>
      <c r="B31" s="9" t="s">
        <v>84</v>
      </c>
      <c r="C31" s="10" t="s"/>
      <c r="D31" s="10" t="s"/>
      <c r="E31" s="11" t="s"/>
      <c r="F31" s="13" t="s"/>
      <c r="G31" s="13" t="s"/>
    </row>
    <row r="32" spans="1:7">
      <c r="A32" s="14">
        <v>6.1</v>
      </c>
      <c r="B32" s="15" t="s">
        <v>85</v>
      </c>
      <c r="C32" s="15" t="s">
        <v>86</v>
      </c>
      <c r="D32" s="15" t="s">
        <v>87</v>
      </c>
      <c r="E32" s="16" t="s">
        <v>16</v>
      </c>
      <c r="F32" s="13">
        <v>120</v>
      </c>
      <c r="G32" s="13">
        <v>163680</v>
      </c>
    </row>
    <row r="33" spans="1:7">
      <c r="A33" s="19">
        <v>6.2</v>
      </c>
      <c r="B33" s="15" t="s">
        <v>88</v>
      </c>
      <c r="C33" s="15" t="s">
        <v>89</v>
      </c>
      <c r="D33" s="15" t="s">
        <v>90</v>
      </c>
      <c r="E33" s="16" t="s">
        <v>13</v>
      </c>
      <c r="F33" s="13">
        <v>100</v>
      </c>
      <c r="G33" s="13">
        <v>136400</v>
      </c>
    </row>
    <row r="34" spans="1:7">
      <c r="A34" s="8">
        <v>7</v>
      </c>
      <c r="B34" s="9" t="s">
        <v>91</v>
      </c>
      <c r="C34" s="10" t="s"/>
      <c r="D34" s="10" t="s"/>
      <c r="E34" s="11" t="s"/>
      <c r="F34" s="13" t="s"/>
      <c r="G34" s="13" t="s"/>
    </row>
    <row r="35" spans="1:7">
      <c r="A35" s="14">
        <v>7.1</v>
      </c>
      <c r="B35" s="15" t="s">
        <v>92</v>
      </c>
      <c r="C35" s="15" t="s">
        <v>93</v>
      </c>
      <c r="D35" s="15" t="s">
        <v>94</v>
      </c>
      <c r="E35" s="16" t="s">
        <v>16</v>
      </c>
      <c r="F35" s="13">
        <v>140</v>
      </c>
      <c r="G35" s="13">
        <v>190960</v>
      </c>
    </row>
    <row r="36" spans="1:7">
      <c r="A36" s="115">
        <v>7.2</v>
      </c>
      <c r="B36" s="116" t="s">
        <v>95</v>
      </c>
      <c r="C36" s="116" t="s">
        <v>96</v>
      </c>
      <c r="D36" s="116" t="s">
        <v>50</v>
      </c>
      <c r="E36" s="117" t="s">
        <v>20</v>
      </c>
      <c r="F36" s="118">
        <v>160</v>
      </c>
      <c r="G36" s="118">
        <v>218240</v>
      </c>
    </row>
    <row r="37" spans="1:7">
      <c r="A37" s="8">
        <v>8</v>
      </c>
      <c r="B37" s="9" t="s">
        <v>97</v>
      </c>
      <c r="C37" s="10" t="s">
        <v>98</v>
      </c>
      <c r="D37" s="10" t="s">
        <v>99</v>
      </c>
      <c r="E37" s="10" t="s">
        <v>16</v>
      </c>
      <c r="F37" s="13">
        <v>120</v>
      </c>
      <c r="G37" s="13">
        <v>163680</v>
      </c>
    </row>
    <row r="38" spans="1:7">
      <c r="A38" s="114" t="s"/>
      <c r="B38" s="13" t="s"/>
      <c r="C38" s="13" t="s"/>
      <c r="D38" s="13" t="s"/>
      <c r="E38" s="13" t="s">
        <v>100</v>
      </c>
      <c r="F38" s="13">
        <v>3840</v>
      </c>
      <c r="G38" s="13">
        <v>5237760</v>
      </c>
    </row>
  </sheetData>
  <mergeCells count="2">
    <mergeCell ref="H2:I2"/>
    <mergeCell ref="H1:I1"/>
  </mergeCells>
</worksheet>
</file>

<file path=xl/worksheets/sheet2.xml><?xml version="1.0" encoding="utf-8"?>
<worksheet xmlns="http://schemas.openxmlformats.org/spreadsheetml/2006/main">
  <sheetPr codeName="2-数据量级评估">
    <tabColor/>
  </sheetPr>
  <dimension ref="F28"/>
  <sheetViews>
    <sheetView showGridLines="1" workbookViewId="0"/>
  </sheetViews>
  <sheetFormatPr baseColWidth="13" defaultRowHeight="18" customHeight="1"/>
  <cols>
    <col min="1" max="1" width="14.832" customWidth="1"/>
    <col min="2" max="3" width="21.4414" customWidth="1"/>
    <col min="4" max="4" width="59.082" customWidth="1"/>
    <col min="5" max="5" width="45.9922" customWidth="1"/>
  </cols>
  <sheetData>
    <row r="1" spans="1:1">
      <c r="A1" s="21" t="s">
        <v>101</v>
      </c>
    </row>
    <row r="2" spans="1:4">
      <c r="A2" s="22" t="s">
        <v>102</v>
      </c>
      <c r="B2" s="22" t="s">
        <v>103</v>
      </c>
      <c r="C2" s="22" t="s">
        <v>104</v>
      </c>
      <c r="D2" s="22" t="s">
        <v>105</v>
      </c>
    </row>
    <row r="3" spans="1:4">
      <c r="A3" s="15" t="s">
        <v>106</v>
      </c>
      <c r="B3" s="15" t="s">
        <v>107</v>
      </c>
      <c r="C3" s="15" t="s">
        <v>108</v>
      </c>
      <c r="D3" s="15" t="s">
        <v>109</v>
      </c>
    </row>
    <row r="4" spans="1:4">
      <c r="A4" s="15" t="s">
        <v>110</v>
      </c>
      <c r="B4" s="15" t="s">
        <v>111</v>
      </c>
      <c r="C4" s="15" t="s">
        <v>112</v>
      </c>
      <c r="D4" s="15" t="s">
        <v>113</v>
      </c>
    </row>
    <row r="5" spans="1:4">
      <c r="A5" s="15" t="s">
        <v>114</v>
      </c>
      <c r="B5" s="15" t="s">
        <v>115</v>
      </c>
      <c r="C5" s="15" t="s">
        <v>116</v>
      </c>
      <c r="D5" s="15" t="s">
        <v>117</v>
      </c>
    </row>
    <row r="6" spans="1:4">
      <c r="A6" s="15" t="s">
        <v>118</v>
      </c>
      <c r="B6" s="15" t="s">
        <v>119</v>
      </c>
      <c r="C6" s="15" t="s">
        <v>120</v>
      </c>
      <c r="D6" s="15" t="s">
        <v>121</v>
      </c>
    </row>
    <row r="7" spans="1:4">
      <c r="A7" s="15" t="s">
        <v>122</v>
      </c>
      <c r="B7" s="15" t="s">
        <v>117</v>
      </c>
      <c r="C7" s="15" t="s">
        <v>117</v>
      </c>
      <c r="D7" s="15" t="s">
        <v>123</v>
      </c>
    </row>
    <row r="9" spans="1:6">
      <c r="A9" s="23" t="s">
        <v>102</v>
      </c>
      <c r="B9" s="24" t="s">
        <v>124</v>
      </c>
      <c r="C9" s="24" t="s">
        <v>125</v>
      </c>
      <c r="D9" s="24" t="s">
        <v>126</v>
      </c>
      <c r="E9" s="24" t="s">
        <v>127</v>
      </c>
      <c r="F9" s="25" t="s"/>
    </row>
    <row r="10" spans="1:6">
      <c r="A10" s="26" t="s">
        <v>106</v>
      </c>
      <c r="B10" s="27" t="s">
        <v>128</v>
      </c>
      <c r="C10" s="27" t="s">
        <v>129</v>
      </c>
      <c r="D10" s="27" t="s">
        <v>130</v>
      </c>
      <c r="E10" s="27" t="s">
        <v>131</v>
      </c>
      <c r="F10" s="25" t="s"/>
    </row>
    <row r="11" spans="1:6">
      <c r="A11" s="28" t="s"/>
      <c r="B11" s="27" t="s">
        <v>132</v>
      </c>
      <c r="C11" s="27" t="s">
        <v>129</v>
      </c>
      <c r="D11" s="27" t="s">
        <v>133</v>
      </c>
      <c r="E11" s="27" t="s">
        <v>134</v>
      </c>
      <c r="F11" s="25" t="s"/>
    </row>
    <row r="12" spans="1:6">
      <c r="A12" s="28" t="s"/>
      <c r="B12" s="27" t="s">
        <v>135</v>
      </c>
      <c r="C12" s="27" t="s">
        <v>129</v>
      </c>
      <c r="D12" s="27" t="s">
        <v>136</v>
      </c>
      <c r="E12" s="27" t="s">
        <v>137</v>
      </c>
      <c r="F12" s="25" t="s"/>
    </row>
    <row r="13" spans="1:6">
      <c r="A13" s="28" t="s"/>
      <c r="B13" s="27" t="s">
        <v>138</v>
      </c>
      <c r="C13" s="27" t="s">
        <v>129</v>
      </c>
      <c r="D13" s="27" t="s">
        <v>139</v>
      </c>
      <c r="E13" s="27" t="s">
        <v>140</v>
      </c>
      <c r="F13" s="25" t="s"/>
    </row>
    <row r="14" spans="1:6">
      <c r="A14" s="28" t="s"/>
      <c r="B14" s="27" t="s">
        <v>141</v>
      </c>
      <c r="C14" s="27" t="s">
        <v>129</v>
      </c>
      <c r="D14" s="27" t="s">
        <v>139</v>
      </c>
      <c r="E14" s="27" t="s">
        <v>142</v>
      </c>
      <c r="F14" s="25" t="s"/>
    </row>
    <row r="15" spans="1:6">
      <c r="A15" s="29" t="s"/>
      <c r="B15" s="27" t="s">
        <v>143</v>
      </c>
      <c r="C15" s="27" t="s">
        <v>144</v>
      </c>
      <c r="D15" s="27" t="s">
        <v>145</v>
      </c>
      <c r="E15" s="27" t="s">
        <v>146</v>
      </c>
      <c r="F15" s="25" t="s"/>
    </row>
    <row r="16" spans="1:6">
      <c r="A16" s="26" t="s">
        <v>110</v>
      </c>
      <c r="B16" s="27" t="s">
        <v>147</v>
      </c>
      <c r="C16" s="27" t="s">
        <v>148</v>
      </c>
      <c r="D16" s="27" t="s">
        <v>130</v>
      </c>
      <c r="E16" s="27" t="s">
        <v>149</v>
      </c>
      <c r="F16" s="25" t="s"/>
    </row>
    <row r="17" spans="1:6">
      <c r="A17" s="28" t="s"/>
      <c r="B17" s="27" t="s">
        <v>150</v>
      </c>
      <c r="C17" s="27" t="s">
        <v>148</v>
      </c>
      <c r="D17" s="27" t="s">
        <v>130</v>
      </c>
      <c r="E17" s="27" t="s">
        <v>151</v>
      </c>
      <c r="F17" s="25" t="s"/>
    </row>
    <row r="18" spans="1:6">
      <c r="A18" s="28" t="s"/>
      <c r="B18" s="27" t="s">
        <v>152</v>
      </c>
      <c r="C18" s="27" t="s">
        <v>148</v>
      </c>
      <c r="D18" s="27" t="s">
        <v>133</v>
      </c>
      <c r="E18" s="27" t="s">
        <v>153</v>
      </c>
      <c r="F18" s="25" t="s"/>
    </row>
    <row r="19" spans="1:6">
      <c r="A19" s="29" t="s"/>
      <c r="B19" s="27" t="s">
        <v>154</v>
      </c>
      <c r="C19" s="27" t="s">
        <v>148</v>
      </c>
      <c r="D19" s="27" t="s">
        <v>130</v>
      </c>
      <c r="E19" s="27" t="s">
        <v>155</v>
      </c>
      <c r="F19" s="25" t="s"/>
    </row>
    <row r="20" spans="1:6">
      <c r="A20" s="26" t="s">
        <v>114</v>
      </c>
      <c r="B20" s="27" t="s">
        <v>156</v>
      </c>
      <c r="C20" s="27" t="s">
        <v>117</v>
      </c>
      <c r="D20" s="27" t="s">
        <v>139</v>
      </c>
      <c r="E20" s="27" t="s">
        <v>157</v>
      </c>
      <c r="F20" s="25" t="s"/>
    </row>
    <row r="21" spans="1:6">
      <c r="A21" s="28" t="s"/>
      <c r="B21" s="27" t="s">
        <v>158</v>
      </c>
      <c r="C21" s="27" t="s">
        <v>129</v>
      </c>
      <c r="D21" s="27" t="s">
        <v>130</v>
      </c>
      <c r="E21" s="27" t="s">
        <v>159</v>
      </c>
      <c r="F21" s="25" t="s"/>
    </row>
    <row r="22" spans="1:6">
      <c r="A22" s="28" t="s"/>
      <c r="B22" s="27" t="s">
        <v>160</v>
      </c>
      <c r="C22" s="27" t="s">
        <v>129</v>
      </c>
      <c r="D22" s="27" t="s">
        <v>139</v>
      </c>
      <c r="E22" s="27" t="s">
        <v>161</v>
      </c>
      <c r="F22" s="25" t="s"/>
    </row>
    <row r="23" spans="1:6">
      <c r="A23" s="28" t="s"/>
      <c r="B23" s="27" t="s">
        <v>162</v>
      </c>
      <c r="C23" s="27" t="s">
        <v>129</v>
      </c>
      <c r="D23" s="27" t="s">
        <v>163</v>
      </c>
      <c r="E23" s="27" t="s">
        <v>164</v>
      </c>
      <c r="F23" s="25" t="s"/>
    </row>
    <row r="24" spans="1:6">
      <c r="A24" s="29" t="s"/>
      <c r="B24" s="27" t="s">
        <v>165</v>
      </c>
      <c r="C24" s="27" t="s">
        <v>129</v>
      </c>
      <c r="D24" s="27" t="s">
        <v>166</v>
      </c>
      <c r="E24" s="27" t="s">
        <v>167</v>
      </c>
      <c r="F24" s="25" t="s"/>
    </row>
    <row r="25" spans="1:6">
      <c r="A25" s="26" t="s">
        <v>118</v>
      </c>
      <c r="B25" s="27" t="s">
        <v>168</v>
      </c>
      <c r="C25" s="27" t="s">
        <v>129</v>
      </c>
      <c r="D25" s="27" t="s">
        <v>130</v>
      </c>
      <c r="E25" s="27" t="s">
        <v>169</v>
      </c>
      <c r="F25" s="25" t="s"/>
    </row>
    <row r="26" spans="1:6">
      <c r="A26" s="28" t="s"/>
      <c r="B26" s="27" t="s">
        <v>170</v>
      </c>
      <c r="C26" s="27" t="s">
        <v>129</v>
      </c>
      <c r="D26" s="27" t="s">
        <v>139</v>
      </c>
      <c r="E26" s="27" t="s">
        <v>171</v>
      </c>
      <c r="F26" s="25" t="s"/>
    </row>
    <row r="27" spans="1:6">
      <c r="A27" s="28" t="s"/>
      <c r="B27" s="27" t="s">
        <v>172</v>
      </c>
      <c r="C27" s="27" t="s">
        <v>129</v>
      </c>
      <c r="D27" s="27" t="s">
        <v>139</v>
      </c>
      <c r="E27" s="27" t="s">
        <v>173</v>
      </c>
      <c r="F27" s="25" t="s"/>
    </row>
    <row r="28" spans="1:6">
      <c r="A28" s="29" t="s"/>
      <c r="B28" s="27" t="s">
        <v>174</v>
      </c>
      <c r="C28" s="27" t="s">
        <v>129</v>
      </c>
      <c r="D28" s="27" t="s">
        <v>175</v>
      </c>
      <c r="E28" s="27" t="s">
        <v>176</v>
      </c>
      <c r="F28" s="25" t="s"/>
    </row>
  </sheetData>
  <mergeCells count="5">
    <mergeCell ref="A1:D1"/>
    <mergeCell ref="A10:A15"/>
    <mergeCell ref="A16:A19"/>
    <mergeCell ref="A20:A24"/>
    <mergeCell ref="A25:A28"/>
  </mergeCells>
</worksheet>
</file>

<file path=xl/worksheets/sheet3.xml><?xml version="1.0" encoding="utf-8"?>
<worksheet xmlns="http://schemas.openxmlformats.org/spreadsheetml/2006/main">
  <sheetPr/>
  <dimension ref="Z194"/>
  <sheetViews>
    <sheetView showGridLines="1" workbookViewId="0"/>
  </sheetViews>
  <sheetFormatPr baseColWidth="13" defaultRowHeight="18" customHeight="1"/>
  <cols>
    <col min="1" max="1" width="9.57422" style="38" customWidth="1"/>
    <col min="2" max="2" width="16.9922" customWidth="1"/>
    <col min="3" max="3" width="50.9844" customWidth="1"/>
    <col min="4" max="4" width="47.3438" customWidth="1"/>
    <col min="5" max="5" width="37.2227" customWidth="1"/>
    <col min="6" max="6" width="22.5234" customWidth="1"/>
    <col min="12" max="12" width="21.4414" customWidth="1"/>
    <col min="23" max="23" width="9.57422" style="38" customWidth="1"/>
    <col min="24" max="24" width="16.9922" customWidth="1"/>
    <col min="25" max="25" width="50.9844" customWidth="1"/>
    <col min="26" max="26" width="41.1406" customWidth="1"/>
  </cols>
  <sheetData>
    <row r="1" spans="1:26" ht="18" customHeight="1">
      <c r="A1" s="30" t="s">
        <v>1</v>
      </c>
      <c r="B1" s="5" t="s">
        <v>2</v>
      </c>
      <c r="C1" s="5" t="s">
        <v>3</v>
      </c>
      <c r="D1" s="5" t="s">
        <v>4</v>
      </c>
      <c r="E1" s="6" t="s">
        <v>177</v>
      </c>
      <c r="F1" s="5" t="s">
        <v>7</v>
      </c>
      <c r="W1" s="4" t="s"/>
      <c r="X1" s="7" t="s"/>
      <c r="Y1" s="7" t="s"/>
      <c r="Z1" s="7" t="s"/>
    </row>
    <row r="2" spans="1:26" ht="18" customHeight="1">
      <c r="A2" s="31">
        <v>1</v>
      </c>
      <c r="B2" s="32" t="s">
        <v>8</v>
      </c>
      <c r="C2" s="33" t="s">
        <v>9</v>
      </c>
      <c r="D2" s="33" t="s">
        <v>10</v>
      </c>
      <c r="E2" s="34" t="s">
        <v>16</v>
      </c>
      <c r="F2" s="13">
        <v>109120</v>
      </c>
      <c r="K2">
        <v>1</v>
      </c>
      <c r="L2" t="s">
        <v>8</v>
      </c>
      <c r="M2" t="s">
        <v>16</v>
      </c>
      <c r="N2">
        <v>80</v>
      </c>
      <c r="O2" s="35">
        <v>109120</v>
      </c>
      <c r="W2" s="8" t="s"/>
      <c r="X2" s="9" t="s"/>
      <c r="Y2" s="10" t="s"/>
      <c r="Z2" s="10" t="s"/>
    </row>
    <row r="3" spans="1:26" ht="25.5" customHeight="1">
      <c r="A3" s="36">
        <v>1.1</v>
      </c>
      <c r="B3" s="15" t="s">
        <v>11</v>
      </c>
      <c r="C3" s="15" t="s">
        <v>12</v>
      </c>
      <c r="D3" s="15" t="s">
        <v>178</v>
      </c>
      <c r="E3" s="16" t="s">
        <v>13</v>
      </c>
      <c r="F3" s="13">
        <v>109120</v>
      </c>
      <c r="K3">
        <v>1.1</v>
      </c>
      <c r="L3" t="s">
        <v>11</v>
      </c>
      <c r="M3" t="s">
        <v>13</v>
      </c>
      <c r="N3">
        <v>80</v>
      </c>
      <c r="O3" s="35">
        <v>109120</v>
      </c>
      <c r="W3" s="36" t="s"/>
      <c r="X3" s="15" t="s"/>
      <c r="Y3" s="15" t="s"/>
      <c r="Z3" s="15" t="s"/>
    </row>
    <row r="4" spans="1:26" ht="25.5" customHeight="1">
      <c r="A4" s="36">
        <v>1.2</v>
      </c>
      <c r="B4" s="15" t="s">
        <v>14</v>
      </c>
      <c r="C4" s="15" t="s">
        <v>15</v>
      </c>
      <c r="D4" s="15" t="s">
        <v>179</v>
      </c>
      <c r="E4" s="16" t="s">
        <v>13</v>
      </c>
      <c r="F4" s="13">
        <v>190960</v>
      </c>
      <c r="K4">
        <v>1.2</v>
      </c>
      <c r="L4" t="s">
        <v>14</v>
      </c>
      <c r="M4" t="s">
        <v>13</v>
      </c>
      <c r="N4">
        <v>140</v>
      </c>
      <c r="O4" s="35">
        <v>190960</v>
      </c>
      <c r="W4" s="36" t="s"/>
      <c r="X4" s="15" t="s"/>
      <c r="Y4" s="15" t="s"/>
      <c r="Z4" s="15" t="s"/>
    </row>
    <row r="5" spans="1:26" ht="25.5" customHeight="1">
      <c r="A5" s="36">
        <v>1.3</v>
      </c>
      <c r="B5" s="15" t="s">
        <v>17</v>
      </c>
      <c r="C5" s="15" t="s">
        <v>18</v>
      </c>
      <c r="D5" s="15" t="s">
        <v>19</v>
      </c>
      <c r="E5" s="16" t="s">
        <v>16</v>
      </c>
      <c r="F5" s="13">
        <v>218240</v>
      </c>
      <c r="K5">
        <v>1.3</v>
      </c>
      <c r="L5" t="s">
        <v>17</v>
      </c>
      <c r="M5" t="s">
        <v>16</v>
      </c>
      <c r="N5">
        <v>160</v>
      </c>
      <c r="O5" s="35">
        <v>218240</v>
      </c>
      <c r="W5" s="36" t="s"/>
      <c r="X5" s="15" t="s"/>
      <c r="Y5" s="15" t="s"/>
      <c r="Z5" s="15" t="s"/>
    </row>
    <row r="6" spans="1:26" ht="25.5" customHeight="1">
      <c r="A6" s="36">
        <v>1.4</v>
      </c>
      <c r="B6" s="15" t="s">
        <v>21</v>
      </c>
      <c r="C6" s="15" t="s">
        <v>22</v>
      </c>
      <c r="D6" s="15" t="s">
        <v>23</v>
      </c>
      <c r="E6" s="16" t="s">
        <v>16</v>
      </c>
      <c r="F6" s="13">
        <v>245520</v>
      </c>
      <c r="K6">
        <v>1.4</v>
      </c>
      <c r="L6" t="s">
        <v>21</v>
      </c>
      <c r="M6" t="s">
        <v>16</v>
      </c>
      <c r="N6">
        <v>180</v>
      </c>
      <c r="O6" s="35">
        <v>245520</v>
      </c>
      <c r="W6" s="36" t="s"/>
      <c r="X6" s="15" t="s"/>
      <c r="Y6" s="15" t="s"/>
      <c r="Z6" s="15" t="s"/>
    </row>
    <row r="7" spans="1:26" ht="18" customHeight="1">
      <c r="A7" s="36">
        <v>1.5</v>
      </c>
      <c r="B7" s="15" t="s">
        <v>24</v>
      </c>
      <c r="C7" s="15" t="s">
        <v>25</v>
      </c>
      <c r="D7" s="15" t="s">
        <v>26</v>
      </c>
      <c r="E7" s="16" t="s">
        <v>16</v>
      </c>
      <c r="F7" s="13">
        <v>218240</v>
      </c>
      <c r="K7">
        <v>1.5</v>
      </c>
      <c r="L7" t="s">
        <v>24</v>
      </c>
      <c r="M7" t="s">
        <v>16</v>
      </c>
      <c r="N7">
        <v>160</v>
      </c>
      <c r="O7" s="35">
        <v>218240</v>
      </c>
      <c r="W7" s="36" t="s"/>
      <c r="X7" s="15" t="s"/>
      <c r="Y7" s="15" t="s"/>
      <c r="Z7" s="15" t="s"/>
    </row>
    <row r="8" spans="1:26" ht="18" customHeight="1">
      <c r="A8" s="31">
        <v>2.1</v>
      </c>
      <c r="B8" s="32" t="s">
        <v>28</v>
      </c>
      <c r="C8" s="33" t="s">
        <v>29</v>
      </c>
      <c r="D8" s="33" t="s">
        <v>30</v>
      </c>
      <c r="E8" s="34" t="s">
        <v>20</v>
      </c>
      <c r="F8" s="13">
        <v>409200</v>
      </c>
      <c r="K8">
        <v>2.2</v>
      </c>
      <c r="L8" t="s">
        <v>31</v>
      </c>
      <c r="M8" t="s">
        <v>13</v>
      </c>
      <c r="N8">
        <v>80</v>
      </c>
      <c r="O8" s="35">
        <v>109120</v>
      </c>
      <c r="W8" s="8" t="s"/>
      <c r="X8" s="9" t="s"/>
      <c r="Y8" s="10" t="s"/>
      <c r="Z8" s="10" t="s"/>
    </row>
    <row r="9" spans="1:26" ht="34.5" customHeight="1">
      <c r="A9" s="36">
        <v>2.2</v>
      </c>
      <c r="B9" s="15" t="s">
        <v>31</v>
      </c>
      <c r="C9" s="15" t="s">
        <v>32</v>
      </c>
      <c r="D9" s="15" t="s">
        <v>33</v>
      </c>
      <c r="E9" s="16" t="s">
        <v>13</v>
      </c>
      <c r="F9" s="13">
        <v>109120</v>
      </c>
      <c r="K9">
        <v>2.3</v>
      </c>
      <c r="L9" t="s">
        <v>34</v>
      </c>
      <c r="M9" t="s">
        <v>13</v>
      </c>
      <c r="N9">
        <v>100</v>
      </c>
      <c r="O9" s="35">
        <v>136400</v>
      </c>
      <c r="W9" s="36" t="s"/>
      <c r="X9" s="15" t="s"/>
      <c r="Y9" s="15" t="s"/>
      <c r="Z9" s="15" t="s"/>
    </row>
    <row r="10" spans="1:26" ht="25.5" customHeight="1">
      <c r="A10" s="36">
        <v>2.3</v>
      </c>
      <c r="B10" s="15" t="s">
        <v>34</v>
      </c>
      <c r="C10" s="15" t="s">
        <v>35</v>
      </c>
      <c r="D10" s="15" t="s">
        <v>36</v>
      </c>
      <c r="E10" s="16" t="s">
        <v>13</v>
      </c>
      <c r="F10" s="13">
        <v>136400</v>
      </c>
      <c r="K10">
        <v>3.1</v>
      </c>
      <c r="L10" t="s">
        <v>38</v>
      </c>
      <c r="M10" t="s">
        <v>13</v>
      </c>
      <c r="N10">
        <v>60</v>
      </c>
      <c r="O10" s="35">
        <v>81840</v>
      </c>
      <c r="W10" s="36" t="s"/>
      <c r="X10" s="15" t="s"/>
      <c r="Y10" s="15" t="s"/>
      <c r="Z10" s="15" t="s"/>
    </row>
    <row r="11" spans="1:26" ht="18" customHeight="1">
      <c r="A11" s="36">
        <v>3.1</v>
      </c>
      <c r="B11" s="15" t="s">
        <v>38</v>
      </c>
      <c r="C11" s="15" t="s">
        <v>39</v>
      </c>
      <c r="D11" s="15" t="s">
        <v>40</v>
      </c>
      <c r="E11" s="16" t="s">
        <v>13</v>
      </c>
      <c r="F11" s="13">
        <v>81840</v>
      </c>
      <c r="K11">
        <v>3.2</v>
      </c>
      <c r="L11" t="s">
        <v>180</v>
      </c>
      <c r="M11" t="s">
        <v>13</v>
      </c>
      <c r="N11">
        <v>200</v>
      </c>
      <c r="O11" s="35">
        <v>272800</v>
      </c>
      <c r="W11" s="36" t="s"/>
      <c r="X11" s="15" t="s"/>
      <c r="Y11" s="15" t="s"/>
      <c r="Z11" s="15" t="s"/>
    </row>
    <row r="12" spans="1:26" ht="18" customHeight="1">
      <c r="A12" s="31">
        <v>3.2</v>
      </c>
      <c r="B12" s="32" t="s">
        <v>181</v>
      </c>
      <c r="C12" s="33" t="s">
        <v>182</v>
      </c>
      <c r="D12" s="33" t="s">
        <v>183</v>
      </c>
      <c r="E12" s="34" t="s">
        <v>13</v>
      </c>
      <c r="F12" s="13">
        <v>272800</v>
      </c>
      <c r="K12">
        <v>4.1</v>
      </c>
      <c r="L12" t="s">
        <v>45</v>
      </c>
      <c r="M12" t="s">
        <v>13</v>
      </c>
      <c r="N12">
        <v>60</v>
      </c>
      <c r="O12" s="35">
        <v>81840</v>
      </c>
      <c r="W12" s="8" t="s"/>
      <c r="X12" s="9" t="s"/>
      <c r="Y12" s="10" t="s"/>
      <c r="Z12" s="10" t="s"/>
    </row>
    <row r="13" spans="1:26" ht="18" customHeight="1">
      <c r="A13" s="36">
        <v>4.1</v>
      </c>
      <c r="B13" s="15" t="s">
        <v>45</v>
      </c>
      <c r="C13" s="15" t="s">
        <v>46</v>
      </c>
      <c r="D13" s="15" t="s">
        <v>47</v>
      </c>
      <c r="E13" s="16" t="s">
        <v>13</v>
      </c>
      <c r="F13" s="13">
        <v>81840</v>
      </c>
      <c r="K13">
        <v>4.5</v>
      </c>
      <c r="L13" t="s">
        <v>56</v>
      </c>
      <c r="M13" t="s">
        <v>16</v>
      </c>
      <c r="N13">
        <v>120</v>
      </c>
      <c r="O13" s="35">
        <v>163680</v>
      </c>
      <c r="W13" s="36" t="s"/>
      <c r="X13" s="15" t="s"/>
      <c r="Y13" s="15" t="s"/>
      <c r="Z13" s="15" t="s"/>
    </row>
    <row r="14" spans="1:26" ht="38.25" customHeight="1">
      <c r="A14" s="37">
        <v>4.2</v>
      </c>
      <c r="B14" s="15" t="s">
        <v>48</v>
      </c>
      <c r="C14" s="15" t="s">
        <v>49</v>
      </c>
      <c r="D14" s="15" t="s">
        <v>50</v>
      </c>
      <c r="E14" s="16" t="s">
        <v>20</v>
      </c>
      <c r="F14" s="13">
        <v>218240</v>
      </c>
      <c r="K14">
        <v>5.1</v>
      </c>
      <c r="L14" t="s">
        <v>60</v>
      </c>
      <c r="M14" t="s">
        <v>16</v>
      </c>
      <c r="N14">
        <v>100</v>
      </c>
      <c r="O14" s="35">
        <v>136400</v>
      </c>
      <c r="W14" s="37" t="s"/>
      <c r="X14" s="15" t="s"/>
      <c r="Y14" s="15" t="s"/>
      <c r="Z14" s="15" t="s"/>
    </row>
    <row r="15" spans="1:26" ht="18" customHeight="1">
      <c r="A15" s="31">
        <v>4.3</v>
      </c>
      <c r="B15" s="32" t="s">
        <v>51</v>
      </c>
      <c r="C15" s="33" t="s">
        <v>52</v>
      </c>
      <c r="D15" s="33" t="s">
        <v>50</v>
      </c>
      <c r="E15" s="34" t="s">
        <v>20</v>
      </c>
      <c r="F15" s="13">
        <v>136400</v>
      </c>
      <c r="K15">
        <v>5.3</v>
      </c>
      <c r="L15" t="s">
        <v>65</v>
      </c>
      <c r="M15" t="s">
        <v>13</v>
      </c>
      <c r="N15">
        <v>60</v>
      </c>
      <c r="O15" s="35">
        <v>81840</v>
      </c>
      <c r="W15" s="8" t="s"/>
      <c r="X15" s="9" t="s"/>
      <c r="Y15" s="10" t="s"/>
      <c r="Z15" s="10" t="s"/>
    </row>
    <row r="16" spans="1:26" ht="18" customHeight="1">
      <c r="A16" s="36">
        <v>4.4</v>
      </c>
      <c r="B16" s="15" t="s">
        <v>54</v>
      </c>
      <c r="C16" s="15" t="s">
        <v>55</v>
      </c>
      <c r="D16" s="15" t="s">
        <v>50</v>
      </c>
      <c r="E16" s="16" t="s">
        <v>20</v>
      </c>
      <c r="F16" s="13">
        <v>163680</v>
      </c>
      <c r="K16">
        <v>5.4</v>
      </c>
      <c r="L16" t="s">
        <v>68</v>
      </c>
      <c r="M16" t="s">
        <v>16</v>
      </c>
      <c r="N16">
        <v>120</v>
      </c>
      <c r="O16" s="35">
        <v>163680</v>
      </c>
      <c r="W16" s="36" t="s"/>
      <c r="X16" s="15" t="s"/>
      <c r="Y16" s="15" t="s"/>
      <c r="Z16" s="15" t="s"/>
    </row>
    <row r="17" spans="1:26" ht="18" customHeight="1">
      <c r="A17" s="36">
        <v>4.5</v>
      </c>
      <c r="B17" s="15" t="s">
        <v>56</v>
      </c>
      <c r="C17" s="15" t="s">
        <v>57</v>
      </c>
      <c r="D17" s="15" t="s">
        <v>58</v>
      </c>
      <c r="E17" s="16" t="s">
        <v>16</v>
      </c>
      <c r="F17" s="13">
        <v>163680</v>
      </c>
      <c r="K17">
        <v>5.5</v>
      </c>
      <c r="L17" t="s">
        <v>71</v>
      </c>
      <c r="M17" t="s">
        <v>16</v>
      </c>
      <c r="N17">
        <v>120</v>
      </c>
      <c r="O17" s="35">
        <v>163680</v>
      </c>
      <c r="W17" s="36" t="s"/>
      <c r="X17" s="15" t="s"/>
      <c r="Y17" s="15" t="s"/>
      <c r="Z17" s="15" t="s"/>
    </row>
    <row r="18" spans="1:26" ht="18" customHeight="1">
      <c r="A18" s="36">
        <v>5.1</v>
      </c>
      <c r="B18" s="15" t="s">
        <v>60</v>
      </c>
      <c r="C18" s="15" t="s">
        <v>61</v>
      </c>
      <c r="D18" s="15" t="s">
        <v>62</v>
      </c>
      <c r="E18" s="16" t="s">
        <v>16</v>
      </c>
      <c r="F18" s="13">
        <v>136400</v>
      </c>
      <c r="K18">
        <v>5.7</v>
      </c>
      <c r="L18" t="s">
        <v>76</v>
      </c>
      <c r="M18" t="s">
        <v>16</v>
      </c>
      <c r="N18">
        <v>120</v>
      </c>
      <c r="O18" s="35">
        <v>163680</v>
      </c>
      <c r="W18" s="36" t="s"/>
      <c r="X18" s="15" t="s"/>
      <c r="Y18" s="15" t="s"/>
      <c r="Z18" s="15" t="s"/>
    </row>
    <row r="19" spans="1:26" ht="18" customHeight="1">
      <c r="A19" s="36">
        <v>5.2</v>
      </c>
      <c r="B19" s="15" t="s">
        <v>63</v>
      </c>
      <c r="C19" s="15" t="s">
        <v>64</v>
      </c>
      <c r="D19" s="15" t="s">
        <v>50</v>
      </c>
      <c r="E19" s="16" t="s">
        <v>20</v>
      </c>
      <c r="F19" s="13">
        <v>218240</v>
      </c>
      <c r="K19">
        <v>5.8</v>
      </c>
      <c r="L19" t="s">
        <v>79</v>
      </c>
      <c r="M19" t="s">
        <v>16</v>
      </c>
      <c r="N19">
        <v>140</v>
      </c>
      <c r="O19" s="35">
        <v>190960</v>
      </c>
      <c r="W19" s="36" t="s"/>
      <c r="X19" s="15" t="s"/>
      <c r="Y19" s="15" t="s"/>
      <c r="Z19" s="15" t="s"/>
    </row>
    <row r="20" spans="1:26" ht="18" customHeight="1">
      <c r="A20" s="36">
        <v>5.3</v>
      </c>
      <c r="B20" s="15" t="s">
        <v>65</v>
      </c>
      <c r="C20" s="15" t="s">
        <v>66</v>
      </c>
      <c r="D20" s="15" t="s">
        <v>67</v>
      </c>
      <c r="E20" s="16" t="s">
        <v>13</v>
      </c>
      <c r="F20" s="13">
        <v>81840</v>
      </c>
      <c r="K20">
        <v>6.1</v>
      </c>
      <c r="L20" t="s">
        <v>85</v>
      </c>
      <c r="M20" t="s">
        <v>16</v>
      </c>
      <c r="N20">
        <v>120</v>
      </c>
      <c r="O20" s="35">
        <v>163680</v>
      </c>
      <c r="W20" s="36" t="s"/>
      <c r="X20" s="15" t="s"/>
      <c r="Y20" s="15" t="s"/>
      <c r="Z20" s="15" t="s"/>
    </row>
    <row r="21" spans="1:26" ht="18" customHeight="1">
      <c r="A21" s="31">
        <v>5.4</v>
      </c>
      <c r="B21" s="32" t="s">
        <v>68</v>
      </c>
      <c r="C21" s="33" t="s">
        <v>69</v>
      </c>
      <c r="D21" s="33" t="s">
        <v>70</v>
      </c>
      <c r="E21" s="34" t="s">
        <v>16</v>
      </c>
      <c r="F21" s="13">
        <v>163680</v>
      </c>
      <c r="K21">
        <v>6.2</v>
      </c>
      <c r="L21" t="s">
        <v>88</v>
      </c>
      <c r="M21" t="s">
        <v>13</v>
      </c>
      <c r="N21">
        <v>100</v>
      </c>
      <c r="O21" s="35">
        <v>136400</v>
      </c>
      <c r="W21" s="8" t="s"/>
      <c r="X21" s="9" t="s"/>
      <c r="Y21" s="10" t="s"/>
      <c r="Z21" s="10" t="s"/>
    </row>
    <row r="22" spans="1:26" ht="18" customHeight="1">
      <c r="A22" s="36">
        <v>5.5</v>
      </c>
      <c r="B22" s="15" t="s">
        <v>71</v>
      </c>
      <c r="C22" s="15" t="s">
        <v>72</v>
      </c>
      <c r="D22" s="15" t="s">
        <v>81</v>
      </c>
      <c r="E22" s="16" t="s">
        <v>16</v>
      </c>
      <c r="F22" s="13">
        <v>163680</v>
      </c>
      <c r="K22">
        <v>7.1</v>
      </c>
      <c r="L22" t="s">
        <v>92</v>
      </c>
      <c r="M22" t="s">
        <v>16</v>
      </c>
      <c r="N22">
        <v>140</v>
      </c>
      <c r="O22" s="35">
        <v>190960</v>
      </c>
      <c r="W22" s="36" t="s"/>
      <c r="X22" s="15" t="s"/>
      <c r="Y22" s="15" t="s"/>
      <c r="Z22" s="15" t="s"/>
    </row>
    <row r="23" spans="1:26" ht="18" customHeight="1">
      <c r="A23" s="36">
        <v>5.6</v>
      </c>
      <c r="B23" s="15" t="s">
        <v>74</v>
      </c>
      <c r="C23" s="15" t="s">
        <v>75</v>
      </c>
      <c r="D23" s="15" t="s">
        <v>50</v>
      </c>
      <c r="E23" s="16" t="s">
        <v>20</v>
      </c>
      <c r="F23" s="13">
        <v>245520</v>
      </c>
      <c r="K23">
        <v>8</v>
      </c>
      <c r="L23" t="s">
        <v>97</v>
      </c>
      <c r="M23" t="s">
        <v>16</v>
      </c>
      <c r="N23">
        <v>120</v>
      </c>
      <c r="O23" s="35">
        <v>163680</v>
      </c>
      <c r="W23" s="36" t="s"/>
      <c r="X23" s="15" t="s"/>
      <c r="Y23" s="15" t="s"/>
      <c r="Z23" s="15" t="s"/>
    </row>
    <row r="24" spans="1:26" ht="18" customHeight="1">
      <c r="A24" s="36">
        <v>5.7</v>
      </c>
      <c r="B24" s="15" t="s">
        <v>76</v>
      </c>
      <c r="C24" s="15" t="s">
        <v>77</v>
      </c>
      <c r="D24" s="15" t="s">
        <v>78</v>
      </c>
      <c r="E24" s="16" t="s">
        <v>16</v>
      </c>
      <c r="F24" s="13">
        <v>163680</v>
      </c>
      <c r="W24" s="36" t="s"/>
      <c r="X24" s="15" t="s"/>
      <c r="Y24" s="15" t="s"/>
      <c r="Z24" s="15" t="s"/>
    </row>
    <row r="25" spans="1:26" ht="18" customHeight="1">
      <c r="A25" s="36">
        <v>5.8</v>
      </c>
      <c r="B25" s="15" t="s">
        <v>79</v>
      </c>
      <c r="C25" s="15" t="s">
        <v>80</v>
      </c>
      <c r="D25" s="15" t="s">
        <v>81</v>
      </c>
      <c r="E25" s="16" t="s">
        <v>16</v>
      </c>
      <c r="F25" s="13">
        <v>190960</v>
      </c>
      <c r="L25" t="s">
        <v>184</v>
      </c>
      <c r="M25" t="s">
        <v>20</v>
      </c>
      <c r="N25">
        <v>300</v>
      </c>
      <c r="O25" s="35">
        <v>409200</v>
      </c>
      <c r="W25" s="36" t="s"/>
      <c r="X25" s="15" t="s"/>
      <c r="Y25" s="15" t="s"/>
      <c r="Z25" s="15" t="s"/>
    </row>
    <row r="26" spans="1:26" ht="18" customHeight="1">
      <c r="A26" s="36">
        <v>5.9</v>
      </c>
      <c r="B26" s="15" t="s">
        <v>82</v>
      </c>
      <c r="C26" s="15" t="s">
        <v>83</v>
      </c>
      <c r="D26" s="15" t="s">
        <v>50</v>
      </c>
      <c r="E26" s="16" t="s">
        <v>20</v>
      </c>
      <c r="F26" s="13">
        <v>245520</v>
      </c>
      <c r="L26" t="s">
        <v>185</v>
      </c>
      <c r="M26" t="s">
        <v>20</v>
      </c>
      <c r="N26">
        <v>160</v>
      </c>
      <c r="O26" s="35">
        <v>218240</v>
      </c>
      <c r="W26" s="36" t="s"/>
      <c r="X26" s="15" t="s"/>
      <c r="Y26" s="15" t="s"/>
      <c r="Z26" s="15" t="s"/>
    </row>
    <row r="27" spans="1:26" ht="18" customHeight="1">
      <c r="A27" s="36">
        <v>6.1</v>
      </c>
      <c r="B27" s="15" t="s">
        <v>85</v>
      </c>
      <c r="C27" s="15" t="s">
        <v>86</v>
      </c>
      <c r="D27" s="15" t="s">
        <v>87</v>
      </c>
      <c r="E27" s="16" t="s">
        <v>16</v>
      </c>
      <c r="F27" s="13">
        <v>163680</v>
      </c>
      <c r="L27" t="s">
        <v>186</v>
      </c>
      <c r="M27" t="s">
        <v>20</v>
      </c>
      <c r="N27">
        <v>100</v>
      </c>
      <c r="O27" s="35">
        <v>136400</v>
      </c>
      <c r="W27" s="36" t="s"/>
      <c r="X27" s="15" t="s"/>
      <c r="Y27" s="15" t="s"/>
      <c r="Z27" s="15" t="s"/>
    </row>
    <row r="28" spans="1:26" ht="18" customHeight="1">
      <c r="A28" s="36">
        <v>6.2</v>
      </c>
      <c r="B28" s="15" t="s">
        <v>88</v>
      </c>
      <c r="C28" s="15" t="s">
        <v>89</v>
      </c>
      <c r="D28" s="15" t="s">
        <v>187</v>
      </c>
      <c r="E28" s="16" t="s">
        <v>13</v>
      </c>
      <c r="F28" s="13">
        <v>136400</v>
      </c>
      <c r="L28" t="s">
        <v>188</v>
      </c>
      <c r="M28" t="s">
        <v>20</v>
      </c>
      <c r="N28">
        <v>120</v>
      </c>
      <c r="O28" s="35">
        <v>163680</v>
      </c>
      <c r="W28" s="36" t="s"/>
      <c r="X28" s="15" t="s"/>
      <c r="Y28" s="15" t="s"/>
      <c r="Z28" s="15" t="s"/>
    </row>
    <row r="29" spans="1:26" ht="18" customHeight="1">
      <c r="A29" s="36">
        <v>7.1</v>
      </c>
      <c r="B29" s="15" t="s">
        <v>92</v>
      </c>
      <c r="C29" s="15" t="s">
        <v>93</v>
      </c>
      <c r="D29" s="15" t="s">
        <v>189</v>
      </c>
      <c r="E29" s="16" t="s">
        <v>16</v>
      </c>
      <c r="F29" s="13">
        <v>190960</v>
      </c>
      <c r="L29" t="s">
        <v>190</v>
      </c>
      <c r="M29" t="s">
        <v>20</v>
      </c>
      <c r="N29">
        <v>160</v>
      </c>
      <c r="O29" s="35">
        <v>218240</v>
      </c>
      <c r="W29" s="36" t="s"/>
      <c r="X29" s="15" t="s"/>
      <c r="Y29" s="15" t="s"/>
      <c r="Z29" s="15" t="s"/>
    </row>
    <row r="30" spans="1:26" ht="18" customHeight="1">
      <c r="A30" s="36">
        <v>7.2</v>
      </c>
      <c r="B30" s="15" t="s">
        <v>95</v>
      </c>
      <c r="C30" s="15" t="s">
        <v>96</v>
      </c>
      <c r="D30" s="15" t="s">
        <v>50</v>
      </c>
      <c r="E30" s="16" t="s">
        <v>20</v>
      </c>
      <c r="F30" s="13">
        <v>218240</v>
      </c>
      <c r="L30" t="s">
        <v>191</v>
      </c>
      <c r="M30" t="s">
        <v>20</v>
      </c>
      <c r="N30">
        <v>180</v>
      </c>
      <c r="O30" s="35">
        <v>245520</v>
      </c>
      <c r="W30" s="36" t="s"/>
      <c r="X30" s="15" t="s"/>
      <c r="Y30" s="15" t="s"/>
      <c r="Z30" s="15" t="s"/>
    </row>
    <row r="31" spans="1:26" ht="18" customHeight="1">
      <c r="A31" s="31">
        <v>8</v>
      </c>
      <c r="B31" s="32" t="s">
        <v>97</v>
      </c>
      <c r="C31" s="33" t="s">
        <v>98</v>
      </c>
      <c r="D31" s="33" t="s">
        <v>99</v>
      </c>
      <c r="E31" s="34" t="s">
        <v>16</v>
      </c>
      <c r="F31" s="13">
        <v>163680</v>
      </c>
      <c r="L31" t="s">
        <v>192</v>
      </c>
      <c r="M31" t="s">
        <v>20</v>
      </c>
      <c r="N31">
        <v>180</v>
      </c>
      <c r="O31" s="35">
        <v>245520</v>
      </c>
      <c r="W31" s="8" t="s"/>
      <c r="X31" s="9" t="s"/>
      <c r="Y31" s="10" t="s"/>
      <c r="Z31" s="10" t="s"/>
    </row>
    <row r="32" spans="1:23" ht="18" customHeight="1">
      <c r="A32" s="38" t="s"/>
      <c r="L32" t="s">
        <v>193</v>
      </c>
      <c r="M32" t="s">
        <v>20</v>
      </c>
      <c r="N32">
        <v>160</v>
      </c>
      <c r="O32" s="35">
        <v>218240</v>
      </c>
      <c r="W32" s="38" t="s"/>
    </row>
    <row r="33" spans="1:23" ht="18" customHeight="1">
      <c r="A33" s="38" t="s"/>
      <c r="L33" t="s">
        <v>194</v>
      </c>
      <c r="M33" t="s">
        <v>16</v>
      </c>
      <c r="N33">
        <v>60</v>
      </c>
      <c r="O33" s="35">
        <v>81840</v>
      </c>
      <c r="W33" s="38" t="s"/>
    </row>
    <row r="34" spans="1:23" ht="18" customHeight="1">
      <c r="A34" s="38" t="s"/>
      <c r="W34" s="38" t="s"/>
    </row>
    <row r="35" spans="1:23" ht="18" customHeight="1">
      <c r="A35" s="38" t="s"/>
      <c r="L35" s="39" t="s">
        <v>195</v>
      </c>
      <c r="W35" s="38" t="s"/>
    </row>
    <row r="36" spans="1:23" ht="18" customHeight="1">
      <c r="A36" s="38" t="s"/>
      <c r="L36" s="39" t="s">
        <v>196</v>
      </c>
      <c r="W36" s="38" t="s"/>
    </row>
    <row r="37" spans="1:23" ht="18" customHeight="1">
      <c r="A37" s="38" t="s"/>
      <c r="L37" s="39" t="s">
        <v>197</v>
      </c>
      <c r="W37" s="38" t="s"/>
    </row>
    <row r="38" spans="1:23" ht="18" customHeight="1">
      <c r="A38" s="38" t="s"/>
      <c r="W38" s="38" t="s"/>
    </row>
    <row r="39" spans="1:23" ht="18" customHeight="1">
      <c r="A39" s="38" t="s"/>
      <c r="L39" s="39" t="s">
        <v>198</v>
      </c>
      <c r="W39" s="38" t="s"/>
    </row>
    <row r="40" spans="1:23" ht="18" customHeight="1">
      <c r="A40" s="38" t="s"/>
      <c r="L40" s="39" t="s">
        <v>199</v>
      </c>
      <c r="W40" s="38" t="s"/>
    </row>
    <row r="41" spans="1:23" ht="18" customHeight="1">
      <c r="A41" s="38" t="s"/>
      <c r="L41" s="39" t="s">
        <v>200</v>
      </c>
      <c r="W41" s="38" t="s"/>
    </row>
    <row r="42" spans="1:23" ht="18" customHeight="1">
      <c r="A42" s="38" t="s"/>
      <c r="W42" s="38" t="s"/>
    </row>
    <row r="43" spans="1:23" ht="18" customHeight="1">
      <c r="A43" s="38" t="s"/>
      <c r="W43" s="38" t="s"/>
    </row>
    <row r="44" spans="1:23" ht="18" customHeight="1">
      <c r="A44" s="38" t="s"/>
      <c r="W44" s="38" t="s"/>
    </row>
    <row r="45" spans="1:23" ht="18" customHeight="1">
      <c r="A45" s="38" t="s"/>
      <c r="W45" s="38" t="s"/>
    </row>
    <row r="46" spans="1:23" ht="18" customHeight="1">
      <c r="A46" s="38" t="s"/>
      <c r="W46" s="38" t="s"/>
    </row>
    <row r="47" spans="1:23" ht="18" customHeight="1">
      <c r="A47" s="38" t="s"/>
      <c r="W47" s="38" t="s"/>
    </row>
    <row r="48" spans="1:23" ht="18" customHeight="1">
      <c r="A48" s="38" t="s"/>
      <c r="W48" s="38" t="s"/>
    </row>
    <row r="49" spans="1:23" ht="18" customHeight="1">
      <c r="A49" s="38" t="s"/>
      <c r="W49" s="38" t="s"/>
    </row>
    <row r="50" spans="1:23" ht="18" customHeight="1">
      <c r="A50" s="38" t="s"/>
      <c r="W50" s="38" t="s"/>
    </row>
    <row r="51" spans="1:23" ht="18" customHeight="1">
      <c r="A51" s="38" t="s"/>
      <c r="W51" s="38" t="s"/>
    </row>
    <row r="52" spans="1:23" ht="18" customHeight="1">
      <c r="A52" s="38" t="s"/>
      <c r="W52" s="38" t="s"/>
    </row>
    <row r="53" spans="1:23" ht="18" customHeight="1">
      <c r="A53" s="38" t="s"/>
      <c r="W53" s="38" t="s"/>
    </row>
    <row r="54" spans="1:23" ht="18" customHeight="1">
      <c r="A54" s="38" t="s"/>
      <c r="W54" s="38" t="s"/>
    </row>
    <row r="55" spans="1:23" ht="18" customHeight="1">
      <c r="A55" s="38" t="s"/>
      <c r="W55" s="38" t="s"/>
    </row>
    <row r="56" spans="1:23" ht="18" customHeight="1">
      <c r="A56" s="38" t="s"/>
      <c r="W56" s="38" t="s"/>
    </row>
    <row r="57" spans="1:23" ht="18" customHeight="1">
      <c r="A57" s="38" t="s"/>
      <c r="W57" s="38" t="s"/>
    </row>
    <row r="58" spans="1:23" ht="18" customHeight="1">
      <c r="A58" s="38" t="s"/>
      <c r="W58" s="38" t="s"/>
    </row>
    <row r="59" spans="1:23" ht="18" customHeight="1">
      <c r="A59" s="38" t="s"/>
      <c r="W59" s="38" t="s"/>
    </row>
    <row r="60" spans="1:23" ht="18" customHeight="1">
      <c r="A60" s="38" t="s"/>
      <c r="W60" s="38" t="s"/>
    </row>
    <row r="61" spans="1:23" ht="18" customHeight="1">
      <c r="A61" s="38" t="s"/>
      <c r="W61" s="38" t="s"/>
    </row>
    <row r="62" spans="1:23" ht="18" customHeight="1">
      <c r="A62" s="38" t="s"/>
      <c r="W62" s="38" t="s"/>
    </row>
    <row r="63" spans="1:23" ht="18" customHeight="1">
      <c r="A63" s="38" t="s"/>
      <c r="W63" s="38" t="s"/>
    </row>
    <row r="64" spans="1:23" ht="18" customHeight="1">
      <c r="A64" s="38" t="s"/>
      <c r="W64" s="38" t="s"/>
    </row>
    <row r="65" spans="1:23" ht="18" customHeight="1">
      <c r="A65" s="38" t="s"/>
      <c r="W65" s="38" t="s"/>
    </row>
    <row r="66" spans="1:23" ht="18" customHeight="1">
      <c r="A66" s="38" t="s"/>
      <c r="W66" s="38" t="s"/>
    </row>
    <row r="67" spans="1:23" ht="18" customHeight="1">
      <c r="A67" s="38" t="s"/>
      <c r="W67" s="38" t="s"/>
    </row>
    <row r="68" spans="1:23" ht="18" customHeight="1">
      <c r="A68" s="38" t="s"/>
      <c r="W68" s="38" t="s"/>
    </row>
    <row r="69" spans="1:23" ht="18" customHeight="1">
      <c r="A69" s="38" t="s"/>
      <c r="W69" s="38" t="s"/>
    </row>
    <row r="70" spans="1:23" ht="18" customHeight="1">
      <c r="A70" s="38" t="s"/>
      <c r="W70" s="38" t="s"/>
    </row>
    <row r="71" spans="1:23" ht="18" customHeight="1">
      <c r="A71" s="38" t="s"/>
      <c r="W71" s="38" t="s"/>
    </row>
    <row r="72" spans="1:23" ht="18" customHeight="1">
      <c r="A72" s="38" t="s"/>
      <c r="W72" s="38" t="s"/>
    </row>
    <row r="73" spans="1:23" ht="18" customHeight="1">
      <c r="A73" s="38" t="s"/>
      <c r="W73" s="38" t="s"/>
    </row>
    <row r="74" spans="1:23" ht="18" customHeight="1">
      <c r="A74" s="38" t="s"/>
      <c r="W74" s="38" t="s"/>
    </row>
    <row r="75" spans="1:23" ht="18" customHeight="1">
      <c r="A75" s="38" t="s"/>
      <c r="W75" s="38" t="s"/>
    </row>
    <row r="76" spans="1:23" ht="18" customHeight="1">
      <c r="A76" s="38" t="s"/>
      <c r="W76" s="38" t="s"/>
    </row>
    <row r="77" spans="1:23" ht="18" customHeight="1">
      <c r="A77" s="38" t="s"/>
      <c r="W77" s="38" t="s"/>
    </row>
    <row r="78" spans="1:23" ht="18" customHeight="1">
      <c r="A78" s="38" t="s"/>
      <c r="W78" s="38" t="s"/>
    </row>
    <row r="79" spans="1:23" ht="18" customHeight="1">
      <c r="A79" s="38" t="s"/>
      <c r="W79" s="38" t="s"/>
    </row>
    <row r="80" spans="1:23" ht="18" customHeight="1">
      <c r="A80" s="38" t="s"/>
      <c r="W80" s="38" t="s"/>
    </row>
    <row r="81" spans="1:23" ht="18" customHeight="1">
      <c r="A81" s="38" t="s"/>
      <c r="W81" s="38" t="s"/>
    </row>
    <row r="82" spans="1:23" ht="18" customHeight="1">
      <c r="A82" s="38" t="s"/>
      <c r="W82" s="38" t="s"/>
    </row>
    <row r="83" spans="1:23" ht="18" customHeight="1">
      <c r="A83" s="38" t="s"/>
      <c r="W83" s="38" t="s"/>
    </row>
    <row r="84" spans="1:23" ht="18" customHeight="1">
      <c r="A84" s="38" t="s"/>
      <c r="W84" s="38" t="s"/>
    </row>
    <row r="85" spans="1:23" ht="18" customHeight="1">
      <c r="A85" s="38" t="s"/>
      <c r="W85" s="38" t="s"/>
    </row>
    <row r="86" spans="1:23" ht="18" customHeight="1">
      <c r="A86" s="38" t="s"/>
      <c r="W86" s="38" t="s"/>
    </row>
    <row r="87" spans="1:23" ht="18" customHeight="1">
      <c r="A87" s="38" t="s"/>
      <c r="W87" s="38" t="s"/>
    </row>
    <row r="88" spans="1:23" ht="18" customHeight="1">
      <c r="A88" s="38" t="s"/>
      <c r="W88" s="38" t="s"/>
    </row>
    <row r="89" spans="1:23" ht="18" customHeight="1">
      <c r="A89" s="38" t="s"/>
      <c r="W89" s="38" t="s"/>
    </row>
    <row r="90" spans="1:23" ht="18" customHeight="1">
      <c r="A90" s="38" t="s"/>
      <c r="W90" s="38" t="s"/>
    </row>
    <row r="91" spans="1:23" ht="18" customHeight="1">
      <c r="A91" s="38" t="s"/>
      <c r="W91" s="38" t="s"/>
    </row>
    <row r="92" spans="1:23" ht="18" customHeight="1">
      <c r="A92" s="38" t="s"/>
      <c r="W92" s="38" t="s"/>
    </row>
    <row r="93" spans="1:23" ht="18" customHeight="1">
      <c r="A93" s="38" t="s"/>
      <c r="W93" s="38" t="s"/>
    </row>
    <row r="94" spans="1:23" ht="18" customHeight="1">
      <c r="A94" s="38" t="s"/>
      <c r="W94" s="38" t="s"/>
    </row>
    <row r="95" spans="1:23" ht="18" customHeight="1">
      <c r="A95" s="38" t="s"/>
      <c r="W95" s="38" t="s"/>
    </row>
    <row r="96" spans="1:23" ht="18" customHeight="1">
      <c r="A96" s="38" t="s"/>
      <c r="W96" s="38" t="s"/>
    </row>
    <row r="97" spans="1:23" ht="18" customHeight="1">
      <c r="A97" s="38" t="s"/>
      <c r="W97" s="38" t="s"/>
    </row>
    <row r="98" spans="1:23" ht="18" customHeight="1">
      <c r="A98" s="38" t="s"/>
      <c r="W98" s="38" t="s"/>
    </row>
    <row r="99" spans="1:23" ht="18" customHeight="1">
      <c r="A99" s="38" t="s"/>
      <c r="W99" s="38" t="s"/>
    </row>
    <row r="100" spans="1:23" ht="18" customHeight="1">
      <c r="A100" s="38" t="s"/>
      <c r="W100" s="38" t="s"/>
    </row>
    <row r="101" spans="1:23" ht="18" customHeight="1">
      <c r="A101" s="38" t="s"/>
      <c r="W101" s="38" t="s"/>
    </row>
    <row r="102" spans="1:23" ht="18" customHeight="1">
      <c r="A102" s="38" t="s"/>
      <c r="W102" s="38" t="s"/>
    </row>
    <row r="103" spans="1:23" ht="18" customHeight="1">
      <c r="A103" s="38" t="s"/>
      <c r="W103" s="38" t="s"/>
    </row>
    <row r="104" spans="1:23" ht="18" customHeight="1">
      <c r="A104" s="38" t="s"/>
      <c r="W104" s="38" t="s"/>
    </row>
    <row r="105" spans="1:23" ht="18" customHeight="1">
      <c r="A105" s="38" t="s"/>
      <c r="W105" s="38" t="s"/>
    </row>
    <row r="106" spans="1:23" ht="18" customHeight="1">
      <c r="A106" s="38" t="s"/>
      <c r="W106" s="38" t="s"/>
    </row>
    <row r="107" spans="1:23" ht="18" customHeight="1">
      <c r="A107" s="38" t="s"/>
      <c r="W107" s="38" t="s"/>
    </row>
    <row r="108" spans="1:23" ht="18" customHeight="1">
      <c r="A108" s="38" t="s"/>
      <c r="W108" s="38" t="s"/>
    </row>
    <row r="109" spans="1:23" ht="18" customHeight="1">
      <c r="A109" s="38" t="s"/>
      <c r="W109" s="38" t="s"/>
    </row>
    <row r="110" spans="1:23" ht="18" customHeight="1">
      <c r="A110" s="38" t="s"/>
      <c r="W110" s="38" t="s"/>
    </row>
    <row r="111" spans="1:23" ht="18" customHeight="1">
      <c r="A111" s="38" t="s"/>
      <c r="W111" s="38" t="s"/>
    </row>
    <row r="112" spans="1:23" ht="18" customHeight="1">
      <c r="A112" s="38" t="s"/>
      <c r="W112" s="38" t="s"/>
    </row>
    <row r="113" spans="1:23" ht="18" customHeight="1">
      <c r="A113" s="38" t="s"/>
      <c r="W113" s="38" t="s"/>
    </row>
    <row r="114" spans="1:23" ht="18" customHeight="1">
      <c r="A114" s="38" t="s"/>
      <c r="W114" s="38" t="s"/>
    </row>
    <row r="115" spans="1:23" ht="18" customHeight="1">
      <c r="A115" s="38" t="s"/>
      <c r="W115" s="38" t="s"/>
    </row>
    <row r="116" spans="1:23" ht="18" customHeight="1">
      <c r="A116" s="38" t="s"/>
      <c r="W116" s="38" t="s"/>
    </row>
    <row r="117" spans="1:23" ht="18" customHeight="1">
      <c r="A117" s="38" t="s"/>
      <c r="W117" s="38" t="s"/>
    </row>
    <row r="118" spans="1:23" ht="18" customHeight="1">
      <c r="A118" s="38" t="s"/>
      <c r="W118" s="38" t="s"/>
    </row>
    <row r="119" spans="1:23" ht="18" customHeight="1">
      <c r="A119" s="38" t="s"/>
      <c r="W119" s="38" t="s"/>
    </row>
    <row r="120" spans="1:23" ht="18" customHeight="1">
      <c r="A120" s="38" t="s"/>
      <c r="W120" s="38" t="s"/>
    </row>
    <row r="121" spans="1:23" ht="18" customHeight="1">
      <c r="A121" s="38" t="s"/>
      <c r="W121" s="38" t="s"/>
    </row>
    <row r="122" spans="1:23" ht="18" customHeight="1">
      <c r="A122" s="38" t="s"/>
      <c r="W122" s="38" t="s"/>
    </row>
    <row r="123" spans="1:23" ht="18" customHeight="1">
      <c r="A123" s="38" t="s"/>
      <c r="W123" s="38" t="s"/>
    </row>
    <row r="124" spans="1:23" ht="18" customHeight="1">
      <c r="A124" s="38" t="s"/>
      <c r="W124" s="38" t="s"/>
    </row>
    <row r="125" spans="1:23" ht="18" customHeight="1">
      <c r="A125" s="38" t="s"/>
      <c r="W125" s="38" t="s"/>
    </row>
    <row r="126" spans="1:23" ht="18" customHeight="1">
      <c r="A126" s="38" t="s"/>
      <c r="W126" s="38" t="s"/>
    </row>
    <row r="127" spans="1:23" ht="18" customHeight="1">
      <c r="A127" s="38" t="s"/>
      <c r="W127" s="38" t="s"/>
    </row>
    <row r="128" spans="1:23" ht="18" customHeight="1">
      <c r="A128" s="38" t="s"/>
      <c r="W128" s="38" t="s"/>
    </row>
    <row r="129" spans="1:23" ht="18" customHeight="1">
      <c r="A129" s="38" t="s"/>
      <c r="W129" s="38" t="s"/>
    </row>
    <row r="130" spans="1:23" ht="18" customHeight="1">
      <c r="A130" s="38" t="s"/>
      <c r="W130" s="38" t="s"/>
    </row>
    <row r="131" spans="1:23" ht="18" customHeight="1">
      <c r="A131" s="38" t="s"/>
      <c r="W131" s="38" t="s"/>
    </row>
    <row r="132" spans="1:23" ht="18" customHeight="1">
      <c r="A132" s="38" t="s"/>
      <c r="W132" s="38" t="s"/>
    </row>
    <row r="133" spans="1:23" ht="18" customHeight="1">
      <c r="A133" s="38" t="s"/>
      <c r="W133" s="38" t="s"/>
    </row>
    <row r="134" spans="1:23" ht="18" customHeight="1">
      <c r="A134" s="38" t="s"/>
      <c r="W134" s="38" t="s"/>
    </row>
    <row r="135" spans="1:23" ht="18" customHeight="1">
      <c r="A135" s="38" t="s"/>
      <c r="W135" s="38" t="s"/>
    </row>
    <row r="136" spans="1:23" ht="18" customHeight="1">
      <c r="A136" s="38" t="s"/>
      <c r="W136" s="38" t="s"/>
    </row>
    <row r="137" spans="1:23" ht="18" customHeight="1">
      <c r="A137" s="38" t="s"/>
      <c r="W137" s="38" t="s"/>
    </row>
    <row r="138" spans="1:23" ht="18" customHeight="1">
      <c r="A138" s="38" t="s"/>
      <c r="W138" s="38" t="s"/>
    </row>
    <row r="139" spans="1:23" ht="18" customHeight="1">
      <c r="A139" s="38" t="s"/>
      <c r="W139" s="38" t="s"/>
    </row>
    <row r="140" spans="1:23" ht="18" customHeight="1">
      <c r="A140" s="38" t="s"/>
      <c r="W140" s="38" t="s"/>
    </row>
    <row r="141" spans="1:23" ht="18" customHeight="1">
      <c r="A141" s="38" t="s"/>
      <c r="W141" s="38" t="s"/>
    </row>
    <row r="142" spans="1:23" ht="18" customHeight="1">
      <c r="A142" s="38" t="s"/>
      <c r="W142" s="38" t="s"/>
    </row>
    <row r="143" spans="1:23" ht="18" customHeight="1">
      <c r="A143" s="38" t="s"/>
      <c r="W143" s="38" t="s"/>
    </row>
    <row r="144" spans="1:23" ht="18" customHeight="1">
      <c r="A144" s="38" t="s"/>
      <c r="W144" s="38" t="s"/>
    </row>
    <row r="145" spans="1:23" ht="18" customHeight="1">
      <c r="A145" s="38" t="s"/>
      <c r="W145" s="38" t="s"/>
    </row>
    <row r="146" spans="1:23" ht="18" customHeight="1">
      <c r="A146" s="38" t="s"/>
      <c r="W146" s="38" t="s"/>
    </row>
    <row r="147" spans="1:23" ht="18" customHeight="1">
      <c r="A147" s="38" t="s"/>
      <c r="W147" s="38" t="s"/>
    </row>
    <row r="148" spans="1:23" ht="18" customHeight="1">
      <c r="A148" s="38" t="s"/>
      <c r="W148" s="38" t="s"/>
    </row>
    <row r="149" spans="1:23" ht="18" customHeight="1">
      <c r="A149" s="38" t="s"/>
      <c r="W149" s="38" t="s"/>
    </row>
    <row r="150" spans="1:23" ht="18" customHeight="1">
      <c r="A150" s="38" t="s"/>
      <c r="W150" s="38" t="s"/>
    </row>
    <row r="151" spans="1:23" ht="18" customHeight="1">
      <c r="A151" s="38" t="s"/>
      <c r="W151" s="38" t="s"/>
    </row>
    <row r="152" spans="1:23" ht="18" customHeight="1">
      <c r="A152" s="38" t="s"/>
      <c r="W152" s="38" t="s"/>
    </row>
    <row r="153" spans="1:23" ht="18" customHeight="1">
      <c r="A153" s="38" t="s"/>
      <c r="W153" s="38" t="s"/>
    </row>
    <row r="154" spans="1:23" ht="18" customHeight="1">
      <c r="A154" s="38" t="s"/>
      <c r="W154" s="38" t="s"/>
    </row>
    <row r="155" spans="1:23" ht="18" customHeight="1">
      <c r="A155" s="38" t="s"/>
      <c r="W155" s="38" t="s"/>
    </row>
    <row r="156" spans="1:23" ht="18" customHeight="1">
      <c r="A156" s="38" t="s"/>
      <c r="W156" s="38" t="s"/>
    </row>
    <row r="157" spans="1:23" ht="18" customHeight="1">
      <c r="A157" s="38" t="s"/>
      <c r="W157" s="38" t="s"/>
    </row>
    <row r="158" spans="1:23" ht="18" customHeight="1">
      <c r="A158" s="38" t="s"/>
      <c r="W158" s="38" t="s"/>
    </row>
    <row r="159" spans="1:23" ht="18" customHeight="1">
      <c r="A159" s="38" t="s"/>
      <c r="W159" s="38" t="s"/>
    </row>
    <row r="160" spans="1:23" ht="18" customHeight="1">
      <c r="A160" s="38" t="s"/>
      <c r="W160" s="38" t="s"/>
    </row>
    <row r="161" spans="1:23" ht="18" customHeight="1">
      <c r="A161" s="38" t="s"/>
      <c r="W161" s="38" t="s"/>
    </row>
    <row r="162" spans="1:23" ht="18" customHeight="1">
      <c r="A162" s="38" t="s"/>
      <c r="W162" s="38" t="s"/>
    </row>
    <row r="163" spans="1:23" ht="18" customHeight="1">
      <c r="A163" s="38" t="s"/>
      <c r="W163" s="38" t="s"/>
    </row>
    <row r="164" spans="1:23" ht="18" customHeight="1">
      <c r="A164" s="38" t="s"/>
      <c r="W164" s="38" t="s"/>
    </row>
    <row r="165" spans="1:23" ht="18" customHeight="1">
      <c r="A165" s="38" t="s"/>
      <c r="W165" s="38" t="s"/>
    </row>
    <row r="166" spans="1:23" ht="18" customHeight="1">
      <c r="A166" s="38" t="s"/>
      <c r="W166" s="38" t="s"/>
    </row>
    <row r="167" spans="1:23" ht="18" customHeight="1">
      <c r="A167" s="38" t="s"/>
      <c r="W167" s="38" t="s"/>
    </row>
    <row r="168" spans="1:23" ht="18" customHeight="1">
      <c r="A168" s="38" t="s"/>
      <c r="W168" s="38" t="s"/>
    </row>
    <row r="169" spans="1:23" ht="18" customHeight="1">
      <c r="A169" s="38" t="s"/>
      <c r="W169" s="38" t="s"/>
    </row>
    <row r="170" spans="1:23" ht="18" customHeight="1">
      <c r="A170" s="38" t="s"/>
      <c r="W170" s="38" t="s"/>
    </row>
    <row r="171" spans="1:23" ht="18" customHeight="1">
      <c r="A171" s="38" t="s"/>
      <c r="W171" s="38" t="s"/>
    </row>
    <row r="172" spans="1:23" ht="18" customHeight="1">
      <c r="A172" s="38" t="s"/>
      <c r="W172" s="38" t="s"/>
    </row>
    <row r="173" spans="1:23" ht="18" customHeight="1">
      <c r="A173" s="38" t="s"/>
      <c r="W173" s="38" t="s"/>
    </row>
    <row r="174" spans="1:23" ht="18" customHeight="1">
      <c r="A174" s="38" t="s"/>
      <c r="W174" s="38" t="s"/>
    </row>
    <row r="175" spans="1:23" ht="18" customHeight="1">
      <c r="A175" s="38" t="s"/>
      <c r="W175" s="38" t="s"/>
    </row>
    <row r="176" spans="1:23" ht="18" customHeight="1">
      <c r="A176" s="38" t="s"/>
      <c r="W176" s="38" t="s"/>
    </row>
    <row r="177" spans="1:23" ht="18" customHeight="1">
      <c r="A177" s="38" t="s"/>
      <c r="W177" s="38" t="s"/>
    </row>
    <row r="178" spans="1:23" ht="18" customHeight="1">
      <c r="A178" s="38" t="s"/>
      <c r="W178" s="38" t="s"/>
    </row>
    <row r="179" spans="1:23" ht="18" customHeight="1">
      <c r="A179" s="38" t="s"/>
      <c r="W179" s="38" t="s"/>
    </row>
    <row r="180" spans="1:23" ht="18" customHeight="1">
      <c r="A180" s="38" t="s"/>
      <c r="W180" s="38" t="s"/>
    </row>
    <row r="181" spans="1:23" ht="18" customHeight="1">
      <c r="A181" s="38" t="s"/>
      <c r="W181" s="38" t="s"/>
    </row>
    <row r="182" spans="1:23" ht="18" customHeight="1">
      <c r="A182" s="38" t="s"/>
      <c r="W182" s="38" t="s"/>
    </row>
    <row r="183" spans="1:23" ht="18" customHeight="1">
      <c r="A183" s="38" t="s"/>
      <c r="W183" s="38" t="s"/>
    </row>
    <row r="184" spans="1:23" ht="18" customHeight="1">
      <c r="A184" s="38" t="s"/>
      <c r="W184" s="38" t="s"/>
    </row>
    <row r="185" spans="1:23" ht="18" customHeight="1">
      <c r="A185" s="38" t="s"/>
      <c r="W185" s="38" t="s"/>
    </row>
    <row r="186" spans="1:23" ht="18" customHeight="1">
      <c r="A186" s="38" t="s"/>
      <c r="W186" s="38" t="s"/>
    </row>
    <row r="187" spans="1:23" ht="18" customHeight="1">
      <c r="A187" s="38" t="s"/>
      <c r="W187" s="38" t="s"/>
    </row>
    <row r="188" spans="1:23" ht="18" customHeight="1">
      <c r="A188" s="38" t="s"/>
      <c r="W188" s="38" t="s"/>
    </row>
    <row r="189" spans="1:23" ht="18" customHeight="1">
      <c r="A189" s="38" t="s"/>
      <c r="W189" s="38" t="s"/>
    </row>
    <row r="190" spans="1:23" ht="18" customHeight="1">
      <c r="A190" s="38" t="s"/>
      <c r="W190" s="38" t="s"/>
    </row>
    <row r="191" spans="1:26" ht="18" customHeight="1">
      <c r="A191" s="30" t="s"/>
      <c r="B191" s="5" t="s"/>
      <c r="C191" s="5" t="s"/>
      <c r="D191" s="5" t="s"/>
      <c r="E191" s="6" t="s"/>
      <c r="F191" s="5" t="s"/>
      <c r="W191" s="4" t="s"/>
      <c r="X191" s="7" t="s"/>
      <c r="Y191" s="7" t="s"/>
      <c r="Z191" s="7" t="s"/>
    </row>
    <row r="192" spans="1:26" ht="18" customHeight="1">
      <c r="A192" s="40" t="s"/>
      <c r="B192" s="41" t="s"/>
      <c r="C192" s="42" t="s"/>
      <c r="D192" s="42" t="s"/>
      <c r="E192" s="43" t="s"/>
      <c r="F192" s="13" t="s"/>
      <c r="W192" s="8" t="s"/>
      <c r="X192" s="9" t="s"/>
      <c r="Y192" s="10" t="s"/>
      <c r="Z192" s="10" t="s"/>
    </row>
    <row r="193" spans="1:26" ht="25.5" customHeight="1">
      <c r="A193" s="36" t="s"/>
      <c r="B193" s="15" t="s"/>
      <c r="C193" s="15" t="s"/>
      <c r="D193" s="15" t="s"/>
      <c r="E193" s="16" t="s"/>
      <c r="F193" s="13" t="s"/>
      <c r="W193" s="36" t="s"/>
      <c r="X193" s="15" t="s"/>
      <c r="Y193" s="15" t="s"/>
      <c r="Z193" s="15" t="s"/>
    </row>
    <row r="194" spans="1:26" ht="25.5" customHeight="1">
      <c r="A194" s="36" t="s"/>
      <c r="B194" s="15" t="s"/>
      <c r="C194" s="15" t="s"/>
      <c r="D194" s="15" t="s"/>
      <c r="E194" s="16" t="s"/>
      <c r="F194" s="13" t="s"/>
      <c r="W194" s="36" t="s"/>
      <c r="X194" s="15" t="s"/>
      <c r="Y194" s="15" t="s"/>
      <c r="Z194" s="15" t="s"/>
    </row>
  </sheetData>
</worksheet>
</file>

<file path=xl/worksheets/sheet4.xml><?xml version="1.0" encoding="utf-8"?>
<worksheet xmlns="http://schemas.openxmlformats.org/spreadsheetml/2006/main">
  <sheetPr/>
  <dimension ref="G14"/>
  <sheetViews>
    <sheetView showGridLines="1" workbookViewId="0"/>
  </sheetViews>
  <sheetFormatPr baseColWidth="13" defaultRowHeight="18" customHeight="1"/>
  <cols>
    <col min="1" max="8" width="19.8242" customWidth="1"/>
  </cols>
  <sheetData>
    <row r="1" spans="1:8" ht="39.75" customHeight="1">
      <c r="A1" s="81" t="s">
        <v>293</v>
      </c>
      <c r="B1" s="81" t="s">
        <v>274</v>
      </c>
      <c r="C1" s="81" t="s">
        <v>288</v>
      </c>
      <c r="D1" s="81" t="s">
        <v>289</v>
      </c>
      <c r="E1" s="81" t="s">
        <v>290</v>
      </c>
      <c r="F1" s="81" t="s">
        <v>295</v>
      </c>
      <c r="G1" s="81" t="s">
        <v>294</v>
      </c>
      <c r="H1" t="s"/>
    </row>
    <row r="2" spans="1:8">
      <c r="A2" s="109" t="s">
        <v>251</v>
      </c>
      <c r="B2" s="109" t="s">
        <v>253</v>
      </c>
      <c r="C2" s="110" t="s">
        <v>259</v>
      </c>
      <c r="D2" s="110" t="s">
        <v>259</v>
      </c>
      <c r="E2" s="110" t="s">
        <v>259</v>
      </c>
      <c r="F2" s="110" t="s">
        <v>260</v>
      </c>
      <c r="G2" s="110" t="s">
        <v>261</v>
      </c>
      <c r="H2" s="112" t="s"/>
    </row>
    <row r="3" spans="1:8">
      <c r="A3" s="109" t="s">
        <v>262</v>
      </c>
      <c r="B3" s="109" t="s">
        <v>263</v>
      </c>
      <c r="C3" s="109" t="s">
        <v>265</v>
      </c>
      <c r="D3" s="109" t="s">
        <v>265</v>
      </c>
      <c r="E3" s="109" t="s">
        <v>265</v>
      </c>
      <c r="F3" s="109" t="s">
        <v>266</v>
      </c>
      <c r="G3" s="109" t="s">
        <v>261</v>
      </c>
      <c r="H3" s="113" t="s"/>
    </row>
    <row r="4" spans="1:8">
      <c r="A4" s="109" t="s">
        <v>267</v>
      </c>
      <c r="B4" s="109" t="s">
        <v>268</v>
      </c>
      <c r="C4" s="109" t="s">
        <v>269</v>
      </c>
      <c r="D4" s="109" t="s">
        <v>269</v>
      </c>
      <c r="E4" s="109" t="s">
        <v>269</v>
      </c>
      <c r="F4" s="109" t="s">
        <v>270</v>
      </c>
      <c r="G4" s="109" t="s">
        <v>261</v>
      </c>
      <c r="H4" s="113" t="s"/>
    </row>
    <row r="7" spans="1:7">
      <c r="A7" s="51" t="s">
        <v>1</v>
      </c>
      <c r="B7" s="51" t="s">
        <v>205</v>
      </c>
      <c r="C7" s="51" t="s">
        <v>206</v>
      </c>
      <c r="D7" s="51" t="s">
        <v>207</v>
      </c>
      <c r="E7" s="51" t="s">
        <v>208</v>
      </c>
      <c r="F7" s="51" t="s">
        <v>209</v>
      </c>
      <c r="G7" s="51" t="s">
        <v>210</v>
      </c>
    </row>
    <row r="8" spans="1:7">
      <c r="A8" s="52">
        <v>1.1</v>
      </c>
      <c r="B8" s="52" t="s">
        <v>296</v>
      </c>
      <c r="C8" s="52" t="s">
        <v>297</v>
      </c>
      <c r="D8" s="52" t="s">
        <v>227</v>
      </c>
      <c r="E8" s="52" t="s">
        <v>214</v>
      </c>
      <c r="F8" s="52" t="s">
        <v>247</v>
      </c>
      <c r="G8" s="52" t="s">
        <v>216</v>
      </c>
    </row>
    <row r="9" spans="1:7">
      <c r="A9" s="52">
        <v>1.2</v>
      </c>
      <c r="B9" s="52" t="s">
        <v>298</v>
      </c>
      <c r="C9" s="52" t="s">
        <v>299</v>
      </c>
      <c r="D9" s="52" t="s">
        <v>300</v>
      </c>
      <c r="E9" s="52" t="s">
        <v>214</v>
      </c>
      <c r="F9" s="52" t="s">
        <v>215</v>
      </c>
      <c r="G9" s="52" t="s">
        <v>216</v>
      </c>
    </row>
    <row r="10" spans="1:7">
      <c r="A10" s="52">
        <v>1.3</v>
      </c>
      <c r="B10" s="52" t="s">
        <v>301</v>
      </c>
      <c r="C10" s="52" t="s">
        <v>302</v>
      </c>
      <c r="D10" s="52" t="s">
        <v>227</v>
      </c>
      <c r="E10" s="52" t="s">
        <v>214</v>
      </c>
      <c r="F10" s="52" t="s">
        <v>222</v>
      </c>
      <c r="G10" s="52" t="s">
        <v>216</v>
      </c>
    </row>
    <row r="11" spans="1:7">
      <c r="A11" s="52">
        <v>1.4</v>
      </c>
      <c r="B11" s="52" t="s">
        <v>303</v>
      </c>
      <c r="C11" s="52" t="s">
        <v>304</v>
      </c>
      <c r="D11" s="52" t="s">
        <v>230</v>
      </c>
      <c r="E11" s="52" t="s">
        <v>214</v>
      </c>
      <c r="F11" s="52" t="s">
        <v>247</v>
      </c>
      <c r="G11" s="52" t="s">
        <v>216</v>
      </c>
    </row>
    <row r="12" spans="1:7">
      <c r="A12" s="52">
        <v>1.5</v>
      </c>
      <c r="B12" s="52" t="s">
        <v>305</v>
      </c>
      <c r="C12" s="52" t="s">
        <v>306</v>
      </c>
      <c r="D12" s="52" t="s">
        <v>227</v>
      </c>
      <c r="E12" s="52" t="s">
        <v>214</v>
      </c>
      <c r="F12" s="52" t="s">
        <v>247</v>
      </c>
      <c r="G12" s="52" t="s">
        <v>216</v>
      </c>
    </row>
    <row r="13" spans="1:7">
      <c r="A13" s="52">
        <v>2</v>
      </c>
      <c r="B13" s="52" t="s">
        <v>228</v>
      </c>
      <c r="C13" s="53" t="s">
        <v>313</v>
      </c>
      <c r="D13" s="52" t="s">
        <v>230</v>
      </c>
      <c r="E13" s="52" t="s">
        <v>214</v>
      </c>
      <c r="F13" s="52" t="s">
        <v>222</v>
      </c>
      <c r="G13" s="52" t="s">
        <v>216</v>
      </c>
    </row>
    <row r="14" spans="1:7">
      <c r="A14" s="52">
        <v>3</v>
      </c>
      <c r="B14" s="52" t="s">
        <v>231</v>
      </c>
      <c r="C14" s="53" t="s">
        <v>314</v>
      </c>
      <c r="D14" s="52" t="s">
        <v>233</v>
      </c>
      <c r="E14" s="52" t="s">
        <v>214</v>
      </c>
      <c r="F14" s="52" t="s">
        <v>222</v>
      </c>
      <c r="G14" s="52" t="s">
        <v>216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2026-03-12T10:28:49Z</dcterms:created>
  <dcterms:modified xsi:type="dcterms:W3CDTF">2026-03-12T10:28:49Z</dcterms:modified>
</cp:coreProperties>
</file>